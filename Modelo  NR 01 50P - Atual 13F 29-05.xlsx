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egim\Downloads\"/>
    </mc:Choice>
  </mc:AlternateContent>
  <xr:revisionPtr revIDLastSave="0" documentId="13_ncr:1_{70419E1F-6430-48FD-9B05-C0E3A34F824B}" xr6:coauthVersionLast="47" xr6:coauthVersionMax="47" xr10:uidLastSave="{00000000-0000-0000-0000-000000000000}"/>
  <bookViews>
    <workbookView xWindow="-120" yWindow="-120" windowWidth="29040" windowHeight="15840" tabRatio="894" xr2:uid="{00000000-000D-0000-FFFF-FFFF00000000}"/>
  </bookViews>
  <sheets>
    <sheet name="Dashboard" sheetId="19" r:id="rId1"/>
    <sheet name="Explicação" sheetId="4" r:id="rId2"/>
    <sheet name="Dados do Forms" sheetId="1" r:id="rId3"/>
    <sheet name="Escala" sheetId="2" r:id="rId4"/>
    <sheet name="Resumo por Tópico" sheetId="3" r:id="rId5"/>
    <sheet name="Análise e Avaliação" sheetId="6" r:id="rId6"/>
    <sheet name="Dados Gráficos" sheetId="13" r:id="rId7"/>
    <sheet name="Planilha5" sheetId="21" r:id="rId8"/>
    <sheet name="Planilha2" sheetId="7" state="hidden" r:id="rId9"/>
    <sheet name="Medidas de Controle " sheetId="8" r:id="rId10"/>
    <sheet name="Monitoramento do desempenho" sheetId="9" r:id="rId11"/>
    <sheet name="Critérios de Probabilidade " sheetId="18" r:id="rId12"/>
    <sheet name="Revisão e Melhoria Continua " sheetId="10" r:id="rId13"/>
  </sheets>
  <definedNames>
    <definedName name="SegmentaçãodeDados_Qual_o_seu_Setor?">#N/A</definedName>
  </definedNames>
  <calcPr calcId="191029"/>
  <pivotCaches>
    <pivotCache cacheId="0"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KFkBMB54hHTsoSFSzdvhrSrFAEIZhBFFqxYeB25pK8g="/>
    </ext>
  </extLst>
</workbook>
</file>

<file path=xl/calcChain.xml><?xml version="1.0" encoding="utf-8"?>
<calcChain xmlns="http://schemas.openxmlformats.org/spreadsheetml/2006/main">
  <c r="E18" i="3" l="1"/>
  <c r="F24" i="6" s="1"/>
  <c r="E19" i="3"/>
  <c r="F25" i="6" s="1"/>
  <c r="E20" i="3"/>
  <c r="F26" i="6" s="1"/>
  <c r="E17" i="3"/>
  <c r="F23" i="6" s="1"/>
  <c r="C8" i="21"/>
  <c r="C7" i="21"/>
  <c r="C6" i="21"/>
  <c r="C12" i="21"/>
  <c r="C11" i="21"/>
  <c r="C10" i="21"/>
  <c r="C16" i="21"/>
  <c r="C14" i="21"/>
  <c r="C15" i="21"/>
  <c r="C4" i="21"/>
  <c r="C9" i="21"/>
  <c r="C13" i="21"/>
  <c r="C5" i="21"/>
  <c r="D15" i="21" l="1"/>
  <c r="F29" i="13" s="1"/>
  <c r="D14" i="21"/>
  <c r="F28" i="13" s="1"/>
  <c r="D16" i="21"/>
  <c r="F30" i="13" s="1"/>
  <c r="D13" i="21"/>
  <c r="F27" i="13" s="1"/>
  <c r="BA2" i="1"/>
  <c r="H2" i="1"/>
  <c r="I2" i="1"/>
  <c r="J2" i="1"/>
  <c r="K2" i="1"/>
  <c r="L2" i="1"/>
  <c r="M2" i="1"/>
  <c r="N2" i="1"/>
  <c r="O2" i="1"/>
  <c r="P2" i="1"/>
  <c r="Q2" i="1"/>
  <c r="R2" i="1"/>
  <c r="S2" i="1"/>
  <c r="T2" i="1"/>
  <c r="U2" i="1"/>
  <c r="V2" i="1"/>
  <c r="W2" i="1"/>
  <c r="X2" i="1"/>
  <c r="Y2" i="1"/>
  <c r="Z2" i="1"/>
  <c r="AA2" i="1"/>
  <c r="AB2" i="1"/>
  <c r="AC2" i="1"/>
  <c r="AD2" i="1"/>
  <c r="AE2" i="1"/>
  <c r="AF2" i="1"/>
  <c r="AG2" i="1"/>
  <c r="AH2" i="1"/>
  <c r="AI2" i="1"/>
  <c r="AJ2" i="1"/>
  <c r="AK2" i="1"/>
  <c r="AL2" i="1"/>
  <c r="AM2" i="1"/>
  <c r="AN2" i="1"/>
  <c r="AO2" i="1"/>
  <c r="AP2" i="1"/>
  <c r="AQ2" i="1"/>
  <c r="AR2" i="1"/>
  <c r="AS2" i="1"/>
  <c r="AT2" i="1"/>
  <c r="AU2" i="1"/>
  <c r="AV2" i="1"/>
  <c r="AW2" i="1"/>
  <c r="AX2" i="1"/>
  <c r="AY2" i="1"/>
  <c r="AZ2" i="1"/>
  <c r="BB2" i="1"/>
  <c r="BC2" i="1"/>
  <c r="BD2" i="1"/>
  <c r="BE2" i="1"/>
  <c r="BF2" i="1"/>
  <c r="BG2" i="1"/>
  <c r="BH2" i="1"/>
  <c r="BI2" i="1"/>
  <c r="BJ2" i="1"/>
  <c r="BK2" i="1"/>
  <c r="BL2" i="1"/>
  <c r="BM2" i="1"/>
  <c r="BN2" i="1"/>
  <c r="BO2" i="1"/>
  <c r="BP2" i="1"/>
  <c r="BQ2" i="1"/>
  <c r="BR2" i="1"/>
  <c r="BS2" i="1"/>
  <c r="BT2" i="1"/>
  <c r="BU2" i="1"/>
  <c r="BV2" i="1"/>
  <c r="BW2" i="1"/>
  <c r="BX2" i="1"/>
  <c r="BY2" i="1"/>
  <c r="BZ2" i="1"/>
  <c r="CA2" i="1"/>
  <c r="CB2" i="1"/>
  <c r="CC2" i="1"/>
  <c r="CD2" i="1"/>
  <c r="CE2" i="1"/>
  <c r="CF2" i="1"/>
  <c r="CG2" i="1"/>
  <c r="CH2" i="1"/>
  <c r="CI2" i="1"/>
  <c r="CJ2" i="1"/>
  <c r="CK2" i="1"/>
  <c r="CL2" i="1"/>
  <c r="CM2" i="1"/>
  <c r="CN2" i="1"/>
  <c r="CO2" i="1"/>
  <c r="G2" i="1"/>
  <c r="F2" i="1"/>
  <c r="E2" i="1"/>
  <c r="D2" i="1"/>
  <c r="E8" i="3"/>
  <c r="F14" i="6" s="1"/>
  <c r="E9" i="3"/>
  <c r="F15" i="6" s="1"/>
  <c r="E10" i="3"/>
  <c r="F16" i="6" s="1"/>
  <c r="E11" i="3"/>
  <c r="F17" i="6" s="1"/>
  <c r="E12" i="3"/>
  <c r="F18" i="6" s="1"/>
  <c r="E13" i="3"/>
  <c r="F19" i="6" s="1"/>
  <c r="E14" i="3"/>
  <c r="F20" i="6" s="1"/>
  <c r="E15" i="3"/>
  <c r="F21" i="6" s="1"/>
  <c r="E16" i="3"/>
  <c r="F22" i="6" s="1"/>
  <c r="D1" i="1"/>
  <c r="E1" i="1"/>
  <c r="F1" i="1"/>
  <c r="G1" i="1"/>
  <c r="H1" i="1"/>
  <c r="I1" i="1"/>
  <c r="J1" i="1"/>
  <c r="K1" i="1"/>
  <c r="L1" i="1"/>
  <c r="M1" i="1"/>
  <c r="N1" i="1"/>
  <c r="O1" i="1"/>
  <c r="P1" i="1"/>
  <c r="Q1" i="1"/>
  <c r="R1" i="1"/>
  <c r="S1" i="1"/>
  <c r="T1" i="1"/>
  <c r="U1" i="1"/>
  <c r="V1" i="1"/>
  <c r="W1" i="1"/>
  <c r="X1" i="1"/>
  <c r="Y1" i="1"/>
  <c r="Z1" i="1"/>
  <c r="AA1" i="1"/>
  <c r="AB1" i="1"/>
  <c r="AC1" i="1"/>
  <c r="AD1" i="1"/>
  <c r="AE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BX1" i="1"/>
  <c r="BY1" i="1"/>
  <c r="BZ1" i="1"/>
  <c r="CA1" i="1"/>
  <c r="CB1" i="1"/>
  <c r="CC1" i="1"/>
  <c r="CD1" i="1"/>
  <c r="CE1" i="1"/>
  <c r="CF1" i="1"/>
  <c r="CG1" i="1"/>
  <c r="CH1" i="1"/>
  <c r="CI1" i="1"/>
  <c r="CJ1" i="1"/>
  <c r="CK1" i="1"/>
  <c r="CL1" i="1"/>
  <c r="CM1" i="1"/>
  <c r="CN1" i="1"/>
  <c r="CO1" i="1"/>
  <c r="D4" i="21" l="1"/>
  <c r="D6" i="21"/>
  <c r="F20" i="13" s="1"/>
  <c r="D9" i="21"/>
  <c r="F23" i="13" s="1"/>
  <c r="D8" i="21"/>
  <c r="F22" i="13" s="1"/>
  <c r="D5" i="21"/>
  <c r="F19" i="13" s="1"/>
  <c r="D10" i="21"/>
  <c r="F24" i="13" s="1"/>
  <c r="D11" i="21"/>
  <c r="F25" i="13" s="1"/>
  <c r="D12" i="21"/>
  <c r="F26" i="13" s="1"/>
  <c r="D7" i="21"/>
  <c r="F21" i="13" s="1"/>
  <c r="F18" i="13"/>
  <c r="E76" i="2"/>
  <c r="F76" i="2" s="1"/>
  <c r="G76" i="2" s="1"/>
  <c r="H76" i="2" s="1"/>
  <c r="E91" i="2"/>
  <c r="F91" i="2" s="1"/>
  <c r="G91" i="2" s="1"/>
  <c r="H91" i="2" s="1"/>
  <c r="E83" i="2"/>
  <c r="F83" i="2" s="1"/>
  <c r="G83" i="2" s="1"/>
  <c r="H83" i="2" s="1"/>
  <c r="E75" i="2"/>
  <c r="F75" i="2" s="1"/>
  <c r="G75" i="2" s="1"/>
  <c r="H75" i="2" s="1"/>
  <c r="E67" i="2"/>
  <c r="F67" i="2" s="1"/>
  <c r="G67" i="2" s="1"/>
  <c r="H67" i="2" s="1"/>
  <c r="E59" i="2"/>
  <c r="F59" i="2" s="1"/>
  <c r="G59" i="2" s="1"/>
  <c r="H59" i="2" s="1"/>
  <c r="E51" i="2"/>
  <c r="F51" i="2" s="1"/>
  <c r="G51" i="2" s="1"/>
  <c r="H51" i="2" s="1"/>
  <c r="E43" i="2"/>
  <c r="F43" i="2" s="1"/>
  <c r="G43" i="2" s="1"/>
  <c r="H43" i="2" s="1"/>
  <c r="E35" i="2"/>
  <c r="F35" i="2" s="1"/>
  <c r="G35" i="2" s="1"/>
  <c r="H35" i="2" s="1"/>
  <c r="E27" i="2"/>
  <c r="F27" i="2" s="1"/>
  <c r="G27" i="2" s="1"/>
  <c r="H27" i="2" s="1"/>
  <c r="E19" i="2"/>
  <c r="F19" i="2" s="1"/>
  <c r="G19" i="2" s="1"/>
  <c r="H19" i="2" s="1"/>
  <c r="E11" i="2"/>
  <c r="F11" i="2" s="1"/>
  <c r="G11" i="2" s="1"/>
  <c r="H11" i="2" s="1"/>
  <c r="E84" i="2"/>
  <c r="F84" i="2" s="1"/>
  <c r="G84" i="2" s="1"/>
  <c r="H84" i="2" s="1"/>
  <c r="E36" i="2"/>
  <c r="F36" i="2" s="1"/>
  <c r="G36" i="2" s="1"/>
  <c r="H36" i="2" s="1"/>
  <c r="E82" i="2"/>
  <c r="F82" i="2" s="1"/>
  <c r="G82" i="2" s="1"/>
  <c r="H82" i="2" s="1"/>
  <c r="E10" i="2"/>
  <c r="F10" i="2" s="1"/>
  <c r="G10" i="2" s="1"/>
  <c r="H10" i="2" s="1"/>
  <c r="E44" i="2"/>
  <c r="F44" i="2" s="1"/>
  <c r="G44" i="2" s="1"/>
  <c r="H44" i="2" s="1"/>
  <c r="E42" i="2"/>
  <c r="F42" i="2" s="1"/>
  <c r="G42" i="2" s="1"/>
  <c r="H42" i="2" s="1"/>
  <c r="E97" i="2"/>
  <c r="F97" i="2" s="1"/>
  <c r="G97" i="2" s="1"/>
  <c r="H97" i="2" s="1"/>
  <c r="E89" i="2"/>
  <c r="F89" i="2" s="1"/>
  <c r="G89" i="2" s="1"/>
  <c r="H89" i="2" s="1"/>
  <c r="E81" i="2"/>
  <c r="F81" i="2" s="1"/>
  <c r="G81" i="2" s="1"/>
  <c r="H81" i="2" s="1"/>
  <c r="E73" i="2"/>
  <c r="F73" i="2" s="1"/>
  <c r="G73" i="2" s="1"/>
  <c r="H73" i="2" s="1"/>
  <c r="E65" i="2"/>
  <c r="F65" i="2" s="1"/>
  <c r="G65" i="2" s="1"/>
  <c r="H65" i="2" s="1"/>
  <c r="E57" i="2"/>
  <c r="F57" i="2" s="1"/>
  <c r="G57" i="2" s="1"/>
  <c r="H57" i="2" s="1"/>
  <c r="E49" i="2"/>
  <c r="F49" i="2" s="1"/>
  <c r="G49" i="2" s="1"/>
  <c r="H49" i="2" s="1"/>
  <c r="E41" i="2"/>
  <c r="F41" i="2" s="1"/>
  <c r="G41" i="2" s="1"/>
  <c r="H41" i="2" s="1"/>
  <c r="E33" i="2"/>
  <c r="F33" i="2" s="1"/>
  <c r="G33" i="2" s="1"/>
  <c r="H33" i="2" s="1"/>
  <c r="E25" i="2"/>
  <c r="F25" i="2" s="1"/>
  <c r="G25" i="2" s="1"/>
  <c r="H25" i="2" s="1"/>
  <c r="E17" i="2"/>
  <c r="F17" i="2" s="1"/>
  <c r="G17" i="2" s="1"/>
  <c r="H17" i="2" s="1"/>
  <c r="E9" i="2"/>
  <c r="F9" i="2" s="1"/>
  <c r="E68" i="2"/>
  <c r="F68" i="2" s="1"/>
  <c r="G68" i="2" s="1"/>
  <c r="H68" i="2" s="1"/>
  <c r="E12" i="2"/>
  <c r="E66" i="2"/>
  <c r="F66" i="2" s="1"/>
  <c r="G66" i="2" s="1"/>
  <c r="H66" i="2" s="1"/>
  <c r="E18" i="2"/>
  <c r="F18" i="2" s="1"/>
  <c r="G18" i="2" s="1"/>
  <c r="H18" i="2" s="1"/>
  <c r="E88" i="2"/>
  <c r="F88" i="2" s="1"/>
  <c r="G88" i="2" s="1"/>
  <c r="H88" i="2" s="1"/>
  <c r="E80" i="2"/>
  <c r="F80" i="2" s="1"/>
  <c r="G80" i="2" s="1"/>
  <c r="H80" i="2" s="1"/>
  <c r="E72" i="2"/>
  <c r="F72" i="2" s="1"/>
  <c r="G72" i="2" s="1"/>
  <c r="H72" i="2" s="1"/>
  <c r="E64" i="2"/>
  <c r="F64" i="2" s="1"/>
  <c r="G64" i="2" s="1"/>
  <c r="H64" i="2" s="1"/>
  <c r="E56" i="2"/>
  <c r="F56" i="2" s="1"/>
  <c r="G56" i="2" s="1"/>
  <c r="H56" i="2" s="1"/>
  <c r="E48" i="2"/>
  <c r="F48" i="2" s="1"/>
  <c r="G48" i="2" s="1"/>
  <c r="H48" i="2" s="1"/>
  <c r="E40" i="2"/>
  <c r="F40" i="2" s="1"/>
  <c r="G40" i="2" s="1"/>
  <c r="H40" i="2" s="1"/>
  <c r="E32" i="2"/>
  <c r="F32" i="2" s="1"/>
  <c r="G32" i="2" s="1"/>
  <c r="H32" i="2" s="1"/>
  <c r="E24" i="2"/>
  <c r="F24" i="2" s="1"/>
  <c r="G24" i="2" s="1"/>
  <c r="H24" i="2" s="1"/>
  <c r="E16" i="2"/>
  <c r="E8" i="2"/>
  <c r="F8" i="2" s="1"/>
  <c r="E60" i="2"/>
  <c r="F60" i="2" s="1"/>
  <c r="G60" i="2" s="1"/>
  <c r="H60" i="2" s="1"/>
  <c r="E20" i="2"/>
  <c r="F20" i="2" s="1"/>
  <c r="G20" i="2" s="1"/>
  <c r="H20" i="2" s="1"/>
  <c r="E58" i="2"/>
  <c r="F58" i="2" s="1"/>
  <c r="G58" i="2" s="1"/>
  <c r="H58" i="2" s="1"/>
  <c r="E26" i="2"/>
  <c r="F26" i="2" s="1"/>
  <c r="G26" i="2" s="1"/>
  <c r="H26" i="2" s="1"/>
  <c r="E96" i="2"/>
  <c r="F96" i="2" s="1"/>
  <c r="G96" i="2" s="1"/>
  <c r="H96" i="2" s="1"/>
  <c r="E95" i="2"/>
  <c r="F95" i="2" s="1"/>
  <c r="G95" i="2" s="1"/>
  <c r="H95" i="2" s="1"/>
  <c r="E87" i="2"/>
  <c r="F87" i="2" s="1"/>
  <c r="G87" i="2" s="1"/>
  <c r="H87" i="2" s="1"/>
  <c r="E79" i="2"/>
  <c r="F79" i="2" s="1"/>
  <c r="G79" i="2" s="1"/>
  <c r="H79" i="2" s="1"/>
  <c r="E71" i="2"/>
  <c r="F71" i="2" s="1"/>
  <c r="G71" i="2" s="1"/>
  <c r="H71" i="2" s="1"/>
  <c r="E63" i="2"/>
  <c r="F63" i="2" s="1"/>
  <c r="G63" i="2" s="1"/>
  <c r="H63" i="2" s="1"/>
  <c r="E55" i="2"/>
  <c r="F55" i="2" s="1"/>
  <c r="G55" i="2" s="1"/>
  <c r="H55" i="2" s="1"/>
  <c r="E47" i="2"/>
  <c r="F47" i="2" s="1"/>
  <c r="G47" i="2" s="1"/>
  <c r="H47" i="2" s="1"/>
  <c r="E39" i="2"/>
  <c r="F39" i="2" s="1"/>
  <c r="G39" i="2" s="1"/>
  <c r="H39" i="2" s="1"/>
  <c r="E31" i="2"/>
  <c r="F31" i="2" s="1"/>
  <c r="G31" i="2" s="1"/>
  <c r="H31" i="2" s="1"/>
  <c r="E23" i="2"/>
  <c r="F23" i="2" s="1"/>
  <c r="G23" i="2" s="1"/>
  <c r="H23" i="2" s="1"/>
  <c r="E15" i="2"/>
  <c r="F15" i="2" s="1"/>
  <c r="G15" i="2" s="1"/>
  <c r="H15" i="2" s="1"/>
  <c r="E92" i="2"/>
  <c r="F92" i="2" s="1"/>
  <c r="G92" i="2" s="1"/>
  <c r="H92" i="2" s="1"/>
  <c r="E28" i="2"/>
  <c r="F28" i="2" s="1"/>
  <c r="G28" i="2" s="1"/>
  <c r="H28" i="2" s="1"/>
  <c r="E74" i="2"/>
  <c r="F74" i="2" s="1"/>
  <c r="G74" i="2" s="1"/>
  <c r="H74" i="2" s="1"/>
  <c r="E34" i="2"/>
  <c r="F34" i="2" s="1"/>
  <c r="G34" i="2" s="1"/>
  <c r="H34" i="2" s="1"/>
  <c r="E94" i="2"/>
  <c r="F94" i="2" s="1"/>
  <c r="G94" i="2" s="1"/>
  <c r="H94" i="2" s="1"/>
  <c r="E78" i="2"/>
  <c r="F78" i="2" s="1"/>
  <c r="G78" i="2" s="1"/>
  <c r="H78" i="2" s="1"/>
  <c r="E62" i="2"/>
  <c r="F62" i="2" s="1"/>
  <c r="G62" i="2" s="1"/>
  <c r="H62" i="2" s="1"/>
  <c r="E46" i="2"/>
  <c r="F46" i="2" s="1"/>
  <c r="G46" i="2" s="1"/>
  <c r="H46" i="2" s="1"/>
  <c r="E38" i="2"/>
  <c r="F38" i="2" s="1"/>
  <c r="G38" i="2" s="1"/>
  <c r="H38" i="2" s="1"/>
  <c r="E30" i="2"/>
  <c r="F30" i="2" s="1"/>
  <c r="G30" i="2" s="1"/>
  <c r="H30" i="2" s="1"/>
  <c r="E22" i="2"/>
  <c r="F22" i="2" s="1"/>
  <c r="G22" i="2" s="1"/>
  <c r="H22" i="2" s="1"/>
  <c r="E14" i="2"/>
  <c r="E52" i="2"/>
  <c r="F52" i="2" s="1"/>
  <c r="G52" i="2" s="1"/>
  <c r="H52" i="2" s="1"/>
  <c r="E90" i="2"/>
  <c r="F90" i="2" s="1"/>
  <c r="G90" i="2" s="1"/>
  <c r="H90" i="2" s="1"/>
  <c r="E50" i="2"/>
  <c r="F50" i="2" s="1"/>
  <c r="G50" i="2" s="1"/>
  <c r="H50" i="2" s="1"/>
  <c r="E86" i="2"/>
  <c r="F86" i="2" s="1"/>
  <c r="G86" i="2" s="1"/>
  <c r="H86" i="2" s="1"/>
  <c r="E70" i="2"/>
  <c r="F70" i="2" s="1"/>
  <c r="G70" i="2" s="1"/>
  <c r="H70" i="2" s="1"/>
  <c r="E54" i="2"/>
  <c r="F54" i="2" s="1"/>
  <c r="G54" i="2" s="1"/>
  <c r="H54" i="2" s="1"/>
  <c r="E93" i="2"/>
  <c r="F93" i="2" s="1"/>
  <c r="G93" i="2" s="1"/>
  <c r="H93" i="2" s="1"/>
  <c r="E85" i="2"/>
  <c r="F85" i="2" s="1"/>
  <c r="G85" i="2" s="1"/>
  <c r="H85" i="2" s="1"/>
  <c r="E77" i="2"/>
  <c r="F77" i="2" s="1"/>
  <c r="G77" i="2" s="1"/>
  <c r="H77" i="2" s="1"/>
  <c r="E69" i="2"/>
  <c r="F69" i="2" s="1"/>
  <c r="G69" i="2" s="1"/>
  <c r="H69" i="2" s="1"/>
  <c r="E61" i="2"/>
  <c r="F61" i="2" s="1"/>
  <c r="G61" i="2" s="1"/>
  <c r="H61" i="2" s="1"/>
  <c r="E53" i="2"/>
  <c r="F53" i="2" s="1"/>
  <c r="G53" i="2" s="1"/>
  <c r="H53" i="2" s="1"/>
  <c r="E45" i="2"/>
  <c r="F45" i="2" s="1"/>
  <c r="G45" i="2" s="1"/>
  <c r="H45" i="2" s="1"/>
  <c r="E37" i="2"/>
  <c r="F37" i="2" s="1"/>
  <c r="G37" i="2" s="1"/>
  <c r="H37" i="2" s="1"/>
  <c r="E29" i="2"/>
  <c r="F29" i="2" s="1"/>
  <c r="G29" i="2" s="1"/>
  <c r="H29" i="2" s="1"/>
  <c r="E21" i="2"/>
  <c r="F21" i="2" s="1"/>
  <c r="G21" i="2" s="1"/>
  <c r="H21" i="2" s="1"/>
  <c r="E13" i="2"/>
  <c r="F13" i="2" s="1"/>
  <c r="G13" i="2" s="1"/>
  <c r="H13" i="2" s="1"/>
  <c r="G8" i="2" l="1"/>
  <c r="A20" i="21"/>
  <c r="B19" i="13"/>
  <c r="B18" i="13"/>
  <c r="B17" i="13"/>
  <c r="B20" i="3"/>
  <c r="B18" i="3"/>
  <c r="B19" i="3"/>
  <c r="B17" i="3"/>
  <c r="B16" i="3"/>
  <c r="E10" i="13" s="1"/>
  <c r="B12" i="3"/>
  <c r="E6" i="13" s="1"/>
  <c r="B11" i="3"/>
  <c r="E5" i="13" s="1"/>
  <c r="B15" i="3"/>
  <c r="E9" i="13" s="1"/>
  <c r="B10" i="3"/>
  <c r="E4" i="13" s="1"/>
  <c r="B14" i="3"/>
  <c r="E8" i="13" s="1"/>
  <c r="B13" i="3"/>
  <c r="E7" i="13" s="1"/>
  <c r="F12" i="2"/>
  <c r="G12" i="2" s="1"/>
  <c r="H12" i="2" s="1"/>
  <c r="F14" i="2"/>
  <c r="G14" i="2" s="1"/>
  <c r="F16" i="2"/>
  <c r="G16" i="2" s="1"/>
  <c r="H16" i="2" s="1"/>
  <c r="D17" i="3" l="1"/>
  <c r="E23" i="6" s="1"/>
  <c r="E11" i="13"/>
  <c r="F11" i="13" s="1"/>
  <c r="K10" i="13" s="1"/>
  <c r="D20" i="3"/>
  <c r="E26" i="6" s="1"/>
  <c r="E14" i="13"/>
  <c r="F14" i="13" s="1"/>
  <c r="K13" i="13" s="1"/>
  <c r="D19" i="3"/>
  <c r="E25" i="6" s="1"/>
  <c r="E13" i="13"/>
  <c r="F13" i="13" s="1"/>
  <c r="K12" i="13" s="1"/>
  <c r="D18" i="3"/>
  <c r="E24" i="6" s="1"/>
  <c r="E12" i="13"/>
  <c r="F12" i="13" s="1"/>
  <c r="K11" i="13" s="1"/>
  <c r="F7" i="13"/>
  <c r="K6" i="13" s="1"/>
  <c r="D13" i="3"/>
  <c r="E19" i="6" s="1"/>
  <c r="G19" i="6" s="1"/>
  <c r="F8" i="13"/>
  <c r="K7" i="13" s="1"/>
  <c r="D14" i="3"/>
  <c r="E20" i="6" s="1"/>
  <c r="G20" i="6" s="1"/>
  <c r="F4" i="13"/>
  <c r="K3" i="13" s="1"/>
  <c r="D10" i="3"/>
  <c r="E16" i="6" s="1"/>
  <c r="G16" i="6" s="1"/>
  <c r="F9" i="13"/>
  <c r="K8" i="13" s="1"/>
  <c r="D15" i="3"/>
  <c r="E21" i="6" s="1"/>
  <c r="G21" i="6" s="1"/>
  <c r="F5" i="13"/>
  <c r="K4" i="13" s="1"/>
  <c r="D11" i="3"/>
  <c r="E17" i="6" s="1"/>
  <c r="G17" i="6" s="1"/>
  <c r="F6" i="13"/>
  <c r="K5" i="13" s="1"/>
  <c r="D12" i="3"/>
  <c r="E18" i="6" s="1"/>
  <c r="G18" i="6" s="1"/>
  <c r="F10" i="13"/>
  <c r="K9" i="13" s="1"/>
  <c r="D16" i="3"/>
  <c r="H14" i="2"/>
  <c r="B9" i="3" s="1"/>
  <c r="G9" i="2"/>
  <c r="H8" i="2"/>
  <c r="H9" i="2" l="1"/>
  <c r="A22" i="21"/>
  <c r="A21" i="21"/>
  <c r="E3" i="13"/>
  <c r="F3" i="13" s="1"/>
  <c r="K2" i="13" s="1"/>
  <c r="E22" i="6"/>
  <c r="G22" i="6" s="1"/>
  <c r="G23" i="6"/>
  <c r="G24" i="6"/>
  <c r="G25" i="6"/>
  <c r="G26" i="6"/>
  <c r="D9" i="3"/>
  <c r="E15" i="6" s="1"/>
  <c r="G15" i="6" s="1"/>
  <c r="B8" i="3"/>
  <c r="D8" i="3" s="1"/>
  <c r="E14" i="6" l="1"/>
  <c r="G14" i="6" s="1"/>
  <c r="E2" i="13"/>
  <c r="F2" i="13" s="1"/>
  <c r="B5" i="13" l="1"/>
  <c r="B3" i="13"/>
  <c r="B4" i="13"/>
  <c r="B2" i="13"/>
  <c r="B29" i="13"/>
  <c r="B30" i="13"/>
  <c r="B28" i="13"/>
  <c r="K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tc={5A76AA89-24B4-AC4E-A5CB-69CEE8A06D41}</author>
  </authors>
  <commentList>
    <comment ref="C7" authorId="0" shapeId="0" xr:uid="{5A76AA89-24B4-AC4E-A5CB-69CEE8A06D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 classificação da Probabilidade deve ser feita por cada setor. Ou seja sempre que um setor for filtrado, é preciso inserir a probabilidade dele aqui para que os resultados não fiquem iguais. </t>
      </text>
    </comment>
  </commentList>
</comments>
</file>

<file path=xl/sharedStrings.xml><?xml version="1.0" encoding="utf-8"?>
<sst xmlns="http://schemas.openxmlformats.org/spreadsheetml/2006/main" count="909" uniqueCount="346">
  <si>
    <t>Carimbo de data/hora</t>
  </si>
  <si>
    <t xml:space="preserve">Qual o seu cargo/ Função? </t>
  </si>
  <si>
    <t xml:space="preserve">Qual o seu Setor? </t>
  </si>
  <si>
    <t>Tópico</t>
  </si>
  <si>
    <t>Nº</t>
  </si>
  <si>
    <t>Pergunta</t>
  </si>
  <si>
    <t>Lógica</t>
  </si>
  <si>
    <t>Pontuação Corrigida</t>
  </si>
  <si>
    <t>Gravidade</t>
  </si>
  <si>
    <t>Probabilidade</t>
  </si>
  <si>
    <t>GravidadeNum</t>
  </si>
  <si>
    <t>Você já presenciou ou sofreu comentários ofensivos, piadas ou insinuações inadequadas no ambiente de trabalho?</t>
  </si>
  <si>
    <t>Direta</t>
  </si>
  <si>
    <t>Você se sente à vontade para relatar situações de assédio moral ou sexual na empresa sem medo de represálias?</t>
  </si>
  <si>
    <t>Invertida</t>
  </si>
  <si>
    <t>Existe um canal seguro e sigiloso para denunciar assédio na empresa?</t>
  </si>
  <si>
    <t>Há casos conhecidos de assédio moral ou sexual que não foram devidamente investigados ou punidos?</t>
  </si>
  <si>
    <t>O RH e os gestores demonstram comprometimento real com a prevenção do assédio?</t>
  </si>
  <si>
    <t>Você frequentemente precisa fazer horas extras ou levar trabalho para casa?</t>
  </si>
  <si>
    <t>Você sente que seu esforço e desempenho são reconhecidos pela liderança?</t>
  </si>
  <si>
    <t>Você sente que há igualdade no reconhecimento entre diferentes áreas ou equipes?</t>
  </si>
  <si>
    <t>Os gestores promovem um ambiente saudável e respeitoso?</t>
  </si>
  <si>
    <t>Você sente que pode contar com seus colegas em momentos de dificuldade?</t>
  </si>
  <si>
    <t>O excesso de controle ou burocracia interfere no seu desempenho?</t>
  </si>
  <si>
    <t>Você já presenciou casos de demissões injustas?</t>
  </si>
  <si>
    <t>Média Gravidade</t>
  </si>
  <si>
    <t>Média Probabilidade</t>
  </si>
  <si>
    <t>Classificação Gravidade</t>
  </si>
  <si>
    <t>Classificação Probabilidade</t>
  </si>
  <si>
    <t>Média</t>
  </si>
  <si>
    <t>Alta</t>
  </si>
  <si>
    <t>Baixa</t>
  </si>
  <si>
    <t>Item</t>
  </si>
  <si>
    <t>Descrição</t>
  </si>
  <si>
    <t>Lógica Direta</t>
  </si>
  <si>
    <t>Lógica Invertida</t>
  </si>
  <si>
    <t>Campo calculado automaticamente com base na lógica direta ou invertida.</t>
  </si>
  <si>
    <t>Classificação do risco com base na Pontuação Corrigida: Alta (&gt;=3), Média (=2), Baixa (&lt;=1).</t>
  </si>
  <si>
    <t>Conversão de texto para número: Alta = 3, Média = 2, Baixa = 1. Usado para cálculo de médias.</t>
  </si>
  <si>
    <t>Media</t>
  </si>
  <si>
    <t>CNPJ</t>
  </si>
  <si>
    <t>00.000.000/0000-00</t>
  </si>
  <si>
    <t xml:space="preserve">Setor </t>
  </si>
  <si>
    <t>Possiveis Agravos a saúde Mental:</t>
  </si>
  <si>
    <t>Medidas de Controle Existentes:</t>
  </si>
  <si>
    <t xml:space="preserve">Gravidade  (Severidade) </t>
  </si>
  <si>
    <t xml:space="preserve">Probabilidade de Ocorrência </t>
  </si>
  <si>
    <t xml:space="preserve">Matriz Risco </t>
  </si>
  <si>
    <t/>
  </si>
  <si>
    <t>BAIXO</t>
  </si>
  <si>
    <t>MÉDIO</t>
  </si>
  <si>
    <t>ALTO</t>
  </si>
  <si>
    <t>CRÍTICO</t>
  </si>
  <si>
    <t>MÉDIA</t>
  </si>
  <si>
    <t>Baixo</t>
  </si>
  <si>
    <t>Médio</t>
  </si>
  <si>
    <t>Alto</t>
  </si>
  <si>
    <t>Crítico</t>
  </si>
  <si>
    <t xml:space="preserve">Acão de Prevencão e Controle </t>
  </si>
  <si>
    <t xml:space="preserve">DRPS - Diagnóstico de 
Riscos Psicossociais </t>
  </si>
  <si>
    <t xml:space="preserve">Monitoramento do Desempenho Psicosocial </t>
  </si>
  <si>
    <t>Essa Aplicacão poderá ser feita apartir de 5 meses Após a Realizacao do DRPS</t>
  </si>
  <si>
    <t xml:space="preserve">Risco Baixo </t>
  </si>
  <si>
    <t xml:space="preserve">Progamas Prevencionistas </t>
  </si>
  <si>
    <t>Risco Moderado</t>
  </si>
  <si>
    <t>✅</t>
  </si>
  <si>
    <t>Risco Alto</t>
  </si>
  <si>
    <t>➡️</t>
  </si>
  <si>
    <t xml:space="preserve">Revisão e Melhoria Contínua </t>
  </si>
  <si>
    <t xml:space="preserve">Check List de Aplicacão das acões </t>
  </si>
  <si>
    <t xml:space="preserve">Reunião Mensal com a Gestão e RH </t>
  </si>
  <si>
    <t xml:space="preserve">Reaplicacão do DRPS </t>
  </si>
  <si>
    <t xml:space="preserve">Auditoria Interna do Sistema de Gestão Piscosocial </t>
  </si>
  <si>
    <t xml:space="preserve">Treinamento de lideres, gestão, e RH. </t>
  </si>
  <si>
    <t xml:space="preserve">TST, Eng, MT, Enf., RH, Compras, CIPA, SIPAT, Ergonomista </t>
  </si>
  <si>
    <t>Avaliação Qualitativa da Probabilidade de Ocorrência dos Riscos Psicossociais</t>
  </si>
  <si>
    <t>SETOR:</t>
  </si>
  <si>
    <t>Critério</t>
  </si>
  <si>
    <t>Opções de Resposta para Avaliacão do Psicólogo</t>
  </si>
  <si>
    <t>Pontuacao Atribuida a Probabilidade</t>
  </si>
  <si>
    <t>Frequência</t>
  </si>
  <si>
    <t>Com que regularidade o risco psicossocial ocorre no ambiente de trabalho?</t>
  </si>
  <si>
    <t>Nunca, Raramente, Ocasionalmente, Frequentemente, Sempre</t>
  </si>
  <si>
    <t>1 - Baixa / 2 Média / 3 Alta</t>
  </si>
  <si>
    <t>Qual é a duração típica dos episódios desse risco?</t>
  </si>
  <si>
    <t>Menos de uma hora, Algumas horas, Um dia inteiro, Vários dias consecutivos</t>
  </si>
  <si>
    <t>Quantos colaboradores são afetados simultaneamente quando o risco ocorre?</t>
  </si>
  <si>
    <t>Nenhum, 1-2 colaboradores, 3-5 colaboradores, Mais de 5 colaboradores</t>
  </si>
  <si>
    <t>Histórico do Risco no Setor</t>
  </si>
  <si>
    <t>Há registros anteriores de incidentes relacionados a esse risco no setor?</t>
  </si>
  <si>
    <t>Não há registros, Registros esporádicos, Registros ocasionais, Registros frequentes, Registros constantes</t>
  </si>
  <si>
    <t>Qual foi a gravidade dos incidentes anteriores relacionados a esse risco?</t>
  </si>
  <si>
    <t>Nenhum impacto, Impacto leve, Impacto moderado, Impacto significativo, Impacto severo</t>
  </si>
  <si>
    <t>As causas desses incidentes foram identificadas e abordadas de forma eficaz?</t>
  </si>
  <si>
    <t>Não identificadas, Identificadas, mas não abordadas, Identificadas e parcialmente abordadas, Identificadas e totalmente abordadas</t>
  </si>
  <si>
    <t>Recursos Disponíveis</t>
  </si>
  <si>
    <t>Quais medidas preventivas estão atualmente implementadas para mitigar esse risco?</t>
  </si>
  <si>
    <t>Nenhuma medida, Medidas informais, Procedimentos formais documentados, Treinamentos regulares, Suporte psicológico disponível</t>
  </si>
  <si>
    <t>Com que frequência as medidas preventivas existentes são revisadas ou atualizadas?</t>
  </si>
  <si>
    <t>Nunca, Raramente, Anualmente, Semestralmente, Trimestralmente ou mais frequentemente</t>
  </si>
  <si>
    <t>Qual é o nível de conhecimento e treinamento dos gestores e colaboradores sobre as medidas de mitigação disponíveis?</t>
  </si>
  <si>
    <t>Nenhum conhecimento, Conhecimento básico, Conhecimento intermediário, Alto nível de conhecimento</t>
  </si>
  <si>
    <t>Existem recursos dedicados para apoiar a implementação e monitoramento das medidas de mitigação?</t>
  </si>
  <si>
    <t>Não existem recursos dedicados, Recursos limitados disponíveis, Recursos adequados disponíveis, Recursos amplamente disponíveis e acessíveis</t>
  </si>
  <si>
    <t xml:space="preserve">Critério </t>
  </si>
  <si>
    <t xml:space="preserve">Quantitativo e Qualitativo </t>
  </si>
  <si>
    <t>DRPS - DIAGNÓSTICO DE RISCOS PSICOSSOCIAIS</t>
  </si>
  <si>
    <t>CRP:</t>
  </si>
  <si>
    <t>Escala</t>
  </si>
  <si>
    <t>A probabilidade é Classificação da chance do risco ocorrer com base na Resposta Original: Alta (&gt;=3), Média (=2), Baixa (&lt;=1).</t>
  </si>
  <si>
    <t>Explicação</t>
  </si>
  <si>
    <t>Nessa aba contém todas informações sobre o critério de cálculo dessa planilha, e também orientações de uso. </t>
  </si>
  <si>
    <t>Critérios de Probabilidade </t>
  </si>
  <si>
    <t>Dados Do Forms </t>
  </si>
  <si>
    <t>Gravidade Num / Probabilidade Num</t>
  </si>
  <si>
    <t>Análise e Avaliação</t>
  </si>
  <si>
    <t>Identificação. </t>
  </si>
  <si>
    <t>Medida de Controle </t>
  </si>
  <si>
    <t>Monitoramento de Desempenho </t>
  </si>
  <si>
    <t>Sugestão para o monitoramento Contínuo do Risco.</t>
  </si>
  <si>
    <t>Media geral</t>
  </si>
  <si>
    <t>Matriz de Risco</t>
  </si>
  <si>
    <t>Risco Crítico</t>
  </si>
  <si>
    <t xml:space="preserve">Progamas interventivos  </t>
  </si>
  <si>
    <t xml:space="preserve">A cada realizacão de progamas é recomendavél uma reavaliacão do Dignóstico de Risco. </t>
  </si>
  <si>
    <t>IMPORTANTE!</t>
  </si>
  <si>
    <t xml:space="preserve">Ao selecionar um setor ele Gerára em todas as abas os dados do setor. </t>
  </si>
  <si>
    <t xml:space="preserve">Lembre-se de Desmarcar Caso deseja ver os dados Gerais como um todo. </t>
  </si>
  <si>
    <t>Fator de risco Piscossocial:</t>
  </si>
  <si>
    <t xml:space="preserve">Lembre-se de Desmarcar Caso deseje ver os dados Gerais como um todo. </t>
  </si>
  <si>
    <t>Responsável Técnico pela Avaliação (Psicologo) (a):</t>
  </si>
  <si>
    <t>Funções</t>
  </si>
  <si>
    <t>Quantidade de Trabalhadores na Função:</t>
  </si>
  <si>
    <t>INDENTIFICAÇÃO</t>
  </si>
  <si>
    <t>Classificaçao de Risco Psicosocial</t>
  </si>
  <si>
    <t>Data da Elaboração:</t>
  </si>
  <si>
    <t xml:space="preserve">Homens </t>
  </si>
  <si>
    <t>Mulheres</t>
  </si>
  <si>
    <t>(Ex: Tudo aquilo que pode acontecer com esses colaboradores se os riscos psicossocias não forem indentificados e controlados,
 incluindo transtornos psicológicos e emcoionais como o Burnout e outros)</t>
  </si>
  <si>
    <t xml:space="preserve">(Ex: As ações que a empresa já realiza para controle dos riscos psicossociais se houverem). </t>
  </si>
  <si>
    <t>Nessa Aba é possível visualizar por setor a média  (Simples) da gravidade das respostas, além de estar sendo feita
 a conversão dos valores das perguntas abertas e invertidas.  </t>
  </si>
  <si>
    <t>A classificação da Probabilidade deve ser feita por cada setor. Ou seja, sempre que um setor for filtrado, é
 preciso inserir a probabilidade dele aqui para que os resultados não fiquem iguais. </t>
  </si>
  <si>
    <t>Nessa aba está o calendário proposto para ações que promovem a saúde mental e previne o adoecimento emocional decorrente dos riscos
 psicossociais avaliados. Também pode ser alterado pelo Psicólogo ao avaliar as necessidades da empresa. </t>
  </si>
  <si>
    <t>Como são calculadas as médias
 de gravidade e probabilidade?</t>
  </si>
  <si>
    <t xml:space="preserve">Aqui serão gerados os Gráficos com a determinação final da matriz de risco Por Setor, Gravidade por setor, e gravidade geral da empresa. </t>
  </si>
  <si>
    <t xml:space="preserve">Resumo Por tópico </t>
  </si>
  <si>
    <t>A aba 'Resumo por Tópico' calcula automaticamente a média da gravidade de cada bloco de10 perguntas por tema. Classificações são geradas com base nos valores médios. Essa aba fará a classificação das médias, trazendo o resultado automático da média da GRAVIDADE das respostas, já convertidas por cada tópico (Fator de Risco psicossocial). </t>
  </si>
  <si>
    <t>Nessa parte o psicólogo deverá informar seu nome completo e CRP como responsável técnico pela avaliação. Em seguida, colocar
 os dados da empresa e do setor que está filtrado. Para salvar os dados o Psi deverá selecionar todo o quadro e salvar em PDF, ou imagem, 
com o nome do setor. Exemplo: (DRPS - Financeiro) Em seguida é só trocar o setor e os dados fazer um novo salvamento. </t>
  </si>
  <si>
    <t xml:space="preserve">Programa de apoio psicológico </t>
  </si>
  <si>
    <t xml:space="preserve">Programa de gestão do estresse e prevenção ao burnout </t>
  </si>
  <si>
    <t xml:space="preserve">Programa de inteligência emocional para líderes </t>
  </si>
  <si>
    <t xml:space="preserve">Programa de prevenção ao assédio moral e psicológico no trabalho </t>
  </si>
  <si>
    <t xml:space="preserve">Programa de avaliação psicológica </t>
  </si>
  <si>
    <t xml:space="preserve">Programa de psicologia positiva </t>
  </si>
  <si>
    <t xml:space="preserve">Programa de saúde mental e clima organizacional </t>
  </si>
  <si>
    <t xml:space="preserve">Programa de prevenção e manejo da ansiedade </t>
  </si>
  <si>
    <t xml:space="preserve">Programa de equilíbrio vida-trabalho </t>
  </si>
  <si>
    <t xml:space="preserve">Programa de comunicação assertiva e não agressiva </t>
  </si>
  <si>
    <t xml:space="preserve">Programa de formação de multiplicadores da cultura do cuidado </t>
  </si>
  <si>
    <t>Programa de treinamento à equipe de RH para implementação da NR 01</t>
  </si>
  <si>
    <t xml:space="preserve">Plano Anual de Implementação da NR 01 </t>
  </si>
  <si>
    <t>Mês de Implementação</t>
  </si>
  <si>
    <t>Gravidade Geral</t>
  </si>
  <si>
    <t>Rótulos de Linha</t>
  </si>
  <si>
    <t>Total Geral</t>
  </si>
  <si>
    <t>Média de GravidadeNum</t>
  </si>
  <si>
    <r>
      <t>As informações dessa aba servem para realizar a análise qualitativa da probabilidade do risco por setor.
 Os critérios estão divididos entre freqência, histórico de risco e recursos.O psicólogo deverá fazer a análise através de
 entrevistas e observações baseando-se nos critérios apresentados, e depois determinar: 1 - Baixa / 2 Média / 3 Alta
 Probabilidade para cada setor e cada tópico de risco na aba resumo por tópico, na coluna "Média Probabilidade". </t>
    </r>
    <r>
      <rPr>
        <b/>
        <sz val="11"/>
        <color rgb="FF000000"/>
        <rFont val="Arial"/>
        <family val="2"/>
      </rPr>
      <t>SUGESTÃO: Copiar e colar a aba de critérios de probabilidade em outro arquivo de excel apra ter rascunhos para os diversos setores da empresa).</t>
    </r>
  </si>
  <si>
    <r>
      <t>Aqui deverão ser colados os dados da planilha do forms com as pontuações geradas do questionário.</t>
    </r>
    <r>
      <rPr>
        <b/>
        <sz val="11"/>
        <color rgb="FF000000"/>
        <rFont val="Arial"/>
        <family val="2"/>
      </rPr>
      <t> IMPORTANTE:</t>
    </r>
    <r>
      <rPr>
        <sz val="11"/>
        <color rgb="FF000000"/>
        <rFont val="Arial"/>
        <family val="2"/>
      </rPr>
      <t xml:space="preserve"> Ter muita atenção na 
hora de colar, verificar se está no início de toda a planilha (Linhas e Colunas). </t>
    </r>
  </si>
  <si>
    <r>
      <t xml:space="preserve">Quanto maior a resposta, </t>
    </r>
    <r>
      <rPr>
        <b/>
        <sz val="11"/>
        <color rgb="FF000000"/>
        <rFont val="Arial"/>
        <family val="2"/>
      </rPr>
      <t>maior</t>
    </r>
    <r>
      <rPr>
        <sz val="11"/>
        <color rgb="FF000000"/>
        <rFont val="Arial"/>
        <family val="2"/>
      </rPr>
      <t xml:space="preserve"> o risco psicossocial (ex: 'Você sofre pressão excessiva?').</t>
    </r>
  </si>
  <si>
    <r>
      <t xml:space="preserve">Quanto maior a resposta, </t>
    </r>
    <r>
      <rPr>
        <b/>
        <sz val="11"/>
        <color rgb="FF000000"/>
        <rFont val="Arial"/>
        <family val="2"/>
      </rPr>
      <t>menor</t>
    </r>
    <r>
      <rPr>
        <sz val="11"/>
        <color rgb="FF000000"/>
        <rFont val="Arial"/>
        <family val="2"/>
      </rPr>
      <t xml:space="preserve"> o risco psicossocial (ex: 'Você sente apoio da liderança?').</t>
    </r>
  </si>
  <si>
    <r>
      <t xml:space="preserve">A aba análise e avaliação trará de forma automática os dados (Média da Gravidade, Média da Probabilidade).  do setor que estiver filtrado
 na aba resumo por tópico. E também trará de forma automática, o cruzamento da gravidade com a probabilidade conforme determina
 a matriz de risco da NR 01. Classificando o risco final do tópico e do setor em </t>
    </r>
    <r>
      <rPr>
        <b/>
        <sz val="11"/>
        <color rgb="FF000000"/>
        <rFont val="Arial"/>
        <family val="2"/>
      </rPr>
      <t>baixo, médio, alto ou crítico</t>
    </r>
    <r>
      <rPr>
        <sz val="11"/>
        <color rgb="FF000000"/>
        <rFont val="Arial"/>
        <family val="2"/>
      </rPr>
      <t>. A coluna fonte geradora do risco
, também poderá ser alterada de acordo com a análise do Psicólogo. </t>
    </r>
  </si>
  <si>
    <t>Gravidade Por Setor</t>
  </si>
  <si>
    <t>Existe apoio da liderança para lidar com desafios relacionados ao trabalho?</t>
  </si>
  <si>
    <t>O RH está presente e atuante quando surgem conflitos ou dificuldades no trabalho?</t>
  </si>
  <si>
    <t>Você sente que pode expressar suas dificuldades no trabalho sem ser julgado(a)?</t>
  </si>
  <si>
    <t>Mudanças organizacionais impactaram negativamente seu sentimento de segurança no trabalho?</t>
  </si>
  <si>
    <t>Há comunicação clara sobre mudanças que afetam a empresa ou os trabalhadores?</t>
  </si>
  <si>
    <t>Você já sentiu que seu emprego estava ameaçado sem explicações claras durante períodos de mudança?</t>
  </si>
  <si>
    <t>Existe transparência na comunicação da empresa durante processos de mudança?</t>
  </si>
  <si>
    <t>Você recebe instruções claras sobre suas responsabilidades no trabalho?</t>
  </si>
  <si>
    <t>A comunicação da empresa ajuda você a entender o que é esperado do seu trabalho?</t>
  </si>
  <si>
    <t>A comunicação entre equipes e setores contribui para a clareza das suas tarefas?</t>
  </si>
  <si>
    <t>Você se sente confortável para pedir esclarecimentos quando não entende suas funções ou prioridades?</t>
  </si>
  <si>
    <t>Você recebe feedback construtivo sobre o seu trabalho com regularidade?</t>
  </si>
  <si>
    <t>Você já se sentiu desmotivado(a) por falta de reconhecimento no trabalho?</t>
  </si>
  <si>
    <t>Você tem liberdade para tomar decisões sobre como executar suas tarefas diárias?</t>
  </si>
  <si>
    <t>A empresa confia na sua capacidade de organizar e gerenciar o próprio trabalho?</t>
  </si>
  <si>
    <t>Existe excesso de supervisão que impacte negativamente sua produtividade ou bem-estar?</t>
  </si>
  <si>
    <t>Você acha justas e claras as formas que a empresa usa para avaliar o seu trabalho?</t>
  </si>
  <si>
    <t>Você sente que há transparência nas decisões de desligamento na empresa?</t>
  </si>
  <si>
    <t>Você já vivenciou ou presenciou alguma situação de violência grave no trabalho (como agressão física, ameaça séria ou ataque verbal intenso)?</t>
  </si>
  <si>
    <t>Você já passou por algum evento grave no trabalho (como acidente sério, situação de risco extremo ou episódio muito impactante)?</t>
  </si>
  <si>
    <t>Alguma situação vivida no trabalho já foi tão marcante que deixou medo, choque ou forte abalo emocional?</t>
  </si>
  <si>
    <t>Você sente que, na maior parte do tempo, tem pouco trabalho a realizar durante sua jornada?</t>
  </si>
  <si>
    <t>Você costuma ficar com tempo ocioso no trabalho por falta de tarefas ou demandas claras?</t>
  </si>
  <si>
    <t>Você sente que suas habilidades ou conhecimentos são pouco utilizados no seu trabalho?</t>
  </si>
  <si>
    <t>Seu trabalho costuma ser pouco desafiador ou repetitivo a ponto de gerar desânimo?</t>
  </si>
  <si>
    <t>Você sente que sua carga de trabalho diária é maior do que consegue realizar dentro do horário normal?</t>
  </si>
  <si>
    <t>Você já teve sintomas físicos ou emocionais (como exaustão, ansiedade ou insônia) devido ao excesso de trabalho?</t>
  </si>
  <si>
    <t>A equipe é dimensionada corretamente para a demanda de trabalho existente?</t>
  </si>
  <si>
    <t>Você já evitou colegas ou superiores por causa de desentendimentos frequentes?</t>
  </si>
  <si>
    <t>Você percebe rivalidade excessiva ou desnecessária entre colegas ou setores?</t>
  </si>
  <si>
    <t>Conflitos no trabalho costumam ser resolvidos de forma justa?</t>
  </si>
  <si>
    <t>Você trabalha em condições (como turnos diferentes, trabalho externo ou distância física) que dificultam a comunicação no trabalho?</t>
  </si>
  <si>
    <t>A distância física entre você e sua equipe ou liderança dificulta a troca de informações?</t>
  </si>
  <si>
    <t>Você já teve dificuldade para receber informações importantes no momento certo por causa da organização do trabalho?</t>
  </si>
  <si>
    <t>Você tem acesso fácil aos meios necessários para se comunicar com colegas e liderança durante o trabalho?</t>
  </si>
  <si>
    <t>Você trabalha grande parte do tempo de forma remota ou sozinho(a), com pouco contato presencial com colegas ou liderança?</t>
  </si>
  <si>
    <t>Você sente que o trabalho remoto ou isolado faz com que se sinta distante da equipe ou da empresa?</t>
  </si>
  <si>
    <t>Se Você trabalha de forma remota ou isolada, você sente que recebe apoio e acompanhamento adequados da empresa?</t>
  </si>
  <si>
    <t>Tópico 01 - Assédio de qualquer natureza no trabalho</t>
  </si>
  <si>
    <t>Tópico 02 - Falta de suporte/apoio no trabalho</t>
  </si>
  <si>
    <t>Tópico 03 - Má gestão de mudanças organizacionais</t>
  </si>
  <si>
    <t>Tópico 04 - Baixa clareza de papel/função</t>
  </si>
  <si>
    <t>Tópico 05 - Baixas recompensas e reconhecimento</t>
  </si>
  <si>
    <t>Tópico 06 - Baixo controle no trabalho / Falta de autonomia</t>
  </si>
  <si>
    <t>Tópico 07 - Baixa justiça organizacional</t>
  </si>
  <si>
    <t>Tópico 08 - Eventos violentos ou traumáticos</t>
  </si>
  <si>
    <t>Tópico 09 - Baixa demanda no trabalho (Subcarga)</t>
  </si>
  <si>
    <t>Tópico 10 - Excesso de demandas no trabalho (Sobrecarga)</t>
  </si>
  <si>
    <t>Tópico 11 - Maus relacionamentos no local de trabalho</t>
  </si>
  <si>
    <t>Tópico 12 - Trabalho em condições de difícil comunicação</t>
  </si>
  <si>
    <t>Tópico 13 - Trabalho remoto e isolado</t>
  </si>
  <si>
    <t>Assédio de qualquer natureza no trabalho</t>
  </si>
  <si>
    <t>Falta de suporte/apoio no trabalho</t>
  </si>
  <si>
    <t>Má gestão de mudanças organizacionais</t>
  </si>
  <si>
    <t>Baixa clareza de papel/função</t>
  </si>
  <si>
    <t>Baixas recompensas e reconhecimento</t>
  </si>
  <si>
    <t>Baixo controle no trabalho / Falta de autonomia</t>
  </si>
  <si>
    <t>Baixa justiça organizacional</t>
  </si>
  <si>
    <t>Eventos violentos ou traumáticos</t>
  </si>
  <si>
    <t>Baixa demanda no trabalho (Subcarga)</t>
  </si>
  <si>
    <t>Excesso de demandas no trabalho (Sobrecarga)</t>
  </si>
  <si>
    <t>Maus relacionamentos no local de trabalho</t>
  </si>
  <si>
    <t>Trabalho em condições de difícil comunicação</t>
  </si>
  <si>
    <t>Trabalho remoto e isolado</t>
  </si>
  <si>
    <t>(vazio)</t>
  </si>
  <si>
    <t>Coluna1</t>
  </si>
  <si>
    <t>Coluna2</t>
  </si>
  <si>
    <t>Coluna3</t>
  </si>
  <si>
    <t>Coluna4</t>
  </si>
  <si>
    <t>Coluna5</t>
  </si>
  <si>
    <t>As colunas 'Gravidade Num' da  aba Escala contêm valores numéricos para cada resposta (Alta=3, Média=2, Baixa=1). A aba 'Resumo por 
Tópico' calcula a média desses valores a cada 03, 04 ou 5 perguntas de um mesmo tema, e fornece a média de Gravidade  por Tópico e da probabilidade inserida pelo psicólogo. </t>
  </si>
  <si>
    <t xml:space="preserve">Dashboard </t>
  </si>
  <si>
    <t>01 - Você já presenciou ou sofreu comentários ofensivos, piadas ou insinuações inadequadas no ambiente de trabalho?
(- Responda pensando se já presenciou ou sofreu esse tipo de situação no trabalho.)</t>
  </si>
  <si>
    <t>02 - Você se sente à vontade para relatar situações de assédio moral ou sexual na empresa sem medo de represálias?
(-Responda se você se sente seguro(a) para relatar situações de assédio na empresa.)</t>
  </si>
  <si>
    <t>03 - Existe um canal seguro e sigiloso para denunciar assédio na empresa?
(-Responda se a empresa oferece um meio seguro para denunciar assédio e outras situações)</t>
  </si>
  <si>
    <t>04 - Há casos conhecidos de assédio moral ou sexual que não foram devidamente investigados ou punidos?
(- Responda se você percebe que situações de assédio não são tratadas corretamente.)</t>
  </si>
  <si>
    <t>05 - O RH e os gestores demonstram comprometimento real com a prevenção do assédio?
(- Responda se você percebe que situações de assédio não são tratadas corretamente.)</t>
  </si>
  <si>
    <t>06 - Você sente que pode contar com seus colegas em momentos de dificuldade?
(-Responda se você sente que pode contar com seus colegas quando precisa.)</t>
  </si>
  <si>
    <t>07 - Existe apoio da liderança para lidar com desafios relacionados ao trabalho?
(Responda se seus gestores ajudam quando surgem dificuldades no trabalho.)</t>
  </si>
  <si>
    <t>08 - O RH está presente e atuante quando surgem conflitos ou dificuldades no trabalho?
(Responda se o RH costuma apoiar quando há conflitos ou problemas.)</t>
  </si>
  <si>
    <t>09 - Os gestores promovem um ambiente saudável e respeitoso?
(Responda como você avalia o comportamento dos gestores no dia a dia.)</t>
  </si>
  <si>
    <t>10 - Você sente que pode expressar suas dificuldades no trabalho sem ser julgado(a)?
(Responda se você se sente à vontade para falar sobre dificuldades no trabalho.)</t>
  </si>
  <si>
    <t>11 - Mudanças organizacionais impactaram negativamente seu sentimento de segurança no trabalho? 
(Responda se mudanças na empresa afetaram sua sensação de segurança no trabalho.)</t>
  </si>
  <si>
    <t>12 - Há comunicação clara sobre mudanças que afetam a empresa ou os trabalhadores?
(Responda se a empresa costuma explicar bem as mudanças que acontecem.)</t>
  </si>
  <si>
    <t>13 - Você já sentiu que seu emprego estava ameaçado sem explicações claras durante períodos de mudança?
(Responda se já sentiu insegurança sobre seu emprego durante mudanças.)</t>
  </si>
  <si>
    <t>14 - Existe transparência na comunicação da empresa durante processos de mudança?
(Responda se as mudanças são comunicadas de forma clara e aberta.)</t>
  </si>
  <si>
    <t>15 - Você recebe instruções claras sobre suas responsabilidades no trabalho?
(Responda se você entende bem quais são suas responsabilidades.)</t>
  </si>
  <si>
    <t>16 - A comunicação da empresa ajuda você a entender o que é esperado do seu trabalho?
(Responda se a empresa deixa claro o que espera do seu trabalho.)</t>
  </si>
  <si>
    <t>17 - A comunicação entre equipes e setores contribui para a clareza das suas tarefas?
(Responda se a comunicação entre áreas ajuda no seu trabalho.)</t>
  </si>
  <si>
    <t>18 - Você se sente confortável para pedir esclarecimentos quando não entende suas funções ou prioridades?
(Responda se você se sente à vontade para perguntar quando não entende algo.)</t>
  </si>
  <si>
    <t>19 - Você sente que seu esforço e desempenho são reconhecidos pela liderança?
(Responda se você se sente valorizado(a) pelo trabalho que realiza.)</t>
  </si>
  <si>
    <t>20 - Você recebe feedback construtivo sobre o seu trabalho com regularidade?
(Responda se você recebe orientações ou retornos sobre seu trabalho.)</t>
  </si>
  <si>
    <t>21 - Com que Frequência Você já se sentiu desmotivado(a) por falta de reconhecimento no trabalho?
(Responda se a falta de reconhecimento já te deixou desmotivado(a).</t>
  </si>
  <si>
    <t>22 - Você tem liberdade para tomar decisões sobre como executar suas tarefas diárias?
(Responda se você pode sugerir melhorias ou decidir como fazer suas tarefas.)</t>
  </si>
  <si>
    <t>23 - A empresa confia na sua capacidade de organizar e gerenciar o próprio trabalho?
(Responda se sente que a empresa confia na forma como você organiza seu trabalho.)</t>
  </si>
  <si>
    <t>24 - Existe excesso de controle ou burocracia que interfere no seu desempenho?
(Responda se regras ou controles atrapalham seu desempenho.)</t>
  </si>
  <si>
    <t>25 - Existe excesso de supervisão que impacta negativamente na sua produtividade ou bem-estar?</t>
  </si>
  <si>
    <t>26 - Você acha justas e claras as formas que a empresa usa para avaliar o seu trabalho?
(Responda se as formas de avaliar seu trabalho são claras e justas.)</t>
  </si>
  <si>
    <t>27 - Você sente que há igualdade no reconhecimento entre diferentes áreas ou equipes?
(Responda se você percebe tratamento justo entre equipes ou setores.)</t>
  </si>
  <si>
    <t>28 - Você sente que há transparência nas decisões de desligamento na empresa?
(Responda se a empresa é clara quando ocorrem desligamentos.)</t>
  </si>
  <si>
    <t>29 - Você já presenciou casos de demissões que considerasse injustas?
(Responda se já presenciou demissões que considerou injustas.)</t>
  </si>
  <si>
    <t>30 - Você já vivenciou ou presenciou alguma situação de violência grave no trabalho (como agressão física, ameaça séria ou ataque verbal intenso)?</t>
  </si>
  <si>
    <t>31 - Você já passou por algum evento grave no trabalho (como acidente sério, situação de risco extremo ou episódio muito impactante)?
Responda se já passou por situações muito graves ou perigosas no trabalho.</t>
  </si>
  <si>
    <t>32 - Alguma situação vivida no trabalho já foi tão marcante que deixou medo, choque ou forte abalo emocional?
(Responda se alguma situação no trabalho já te causou forte abalo emocional.)</t>
  </si>
  <si>
    <t>33 - Você sente que, na maior parte do tempo, tem pouco trabalho a realizar durante sua jornada?
(Responda se costuma ter pouco trabalho durante sua jornada.)</t>
  </si>
  <si>
    <t>34 - Você costuma ficar com tempo ocioso no trabalho por falta de tarefas ou demandas claras?
(Responda se frequentemente fica sem tarefas para realizar.)</t>
  </si>
  <si>
    <t>35 - Você sente que suas habilidades ou conhecimentos são pouco utilizados no seu trabalho?
(Responda se sente que suas habilidades são pouco aproveitadas.)</t>
  </si>
  <si>
    <t>36 - Seu trabalho costuma ser pouco desafiador ou repetitivo a ponto de gerar desânimo?
(Responda se o trabalho é repetitivo ou desmotivador.)</t>
  </si>
  <si>
    <t>37 - Você sente que sua carga de trabalho diária é maior do que consegue realizar dentro do horário normal? 
(Responda se a quantidade de trabalho é maior do que consegue realizar.)</t>
  </si>
  <si>
    <t>38 - Você frequentemente precisa fazer horas extras ou levar trabalho para casa?
(Responda se costuma trabalhar além do horário normal.)</t>
  </si>
  <si>
    <t>39 - Você já teve sintomas físicos ou emocionais (como exaustão, ansiedade ou insônia) devido ao excesso de trabalho?
(Responda se o excesso de trabalho já afetou sua saúde)</t>
  </si>
  <si>
    <t>40 - A equipe é dimensionada/dividida corretamente para a demanda/quantidade de trabalho existente?
(Responda se a quantidade de pessoas é suficiente para a demanda.)</t>
  </si>
  <si>
    <t>41 - Você já evitou colegas ou superiores por causa de desentendimentos frequentes?
(Responda se já evitou colegas ou superiores por conflitos.)</t>
  </si>
  <si>
    <t>42 - Você percebe rivalidade excessiva ou desnecessária entre colegas ou setores?
(Responda se percebe disputas desnecessárias no trabalho.)</t>
  </si>
  <si>
    <t>43 - Conflitos no trabalho costumam ser resolvidos de forma justa?
(Responda se os conflitos costumam ser resolvidos de forma justa.)</t>
  </si>
  <si>
    <t>44 - Você trabalha em condições (como turnos diferentes, trabalho externo ou distância física) que dificultam a comunicação no trabalho?
(Responda se seu trabalho dificulta a comunicação com colegas ou líderes.)</t>
  </si>
  <si>
    <t>45 - A distância física entre você e sua equipe ou liderança dificulta a troca de informações? 
(Responda se a distância atrapalha a troca de informações.)</t>
  </si>
  <si>
    <t>46 - Você já teve dificuldade para receber informações importantes no momento certo por causa da organização do trabalho?
(Responda se já recebeu informações importantes com atraso.)</t>
  </si>
  <si>
    <t>47 - Você tem acesso fácil aos meios necessários para se comunicar com colegas e liderança durante o trabalho?
(Responda se você tem meios adequados para se comunicar no trabalho.)</t>
  </si>
  <si>
    <t>48 - Você trabalha grande parte do tempo de forma remota ou sozinho(a), com pouco contato presencial com colegas ou liderança?
(Responda se você trabalha a maior parte do tempo sozinho(a) ou à distância.)</t>
  </si>
  <si>
    <t>49 - Você sente que o trabalho remoto ou isolado faz com que se sinta distante da equipe ou da empresa?
(Responda se isso faz você se sentir distante da equipe ou da empresa.)</t>
  </si>
  <si>
    <t>50 - Mesmo trabalhando de forma remota ou isolada, você sente que recebe apoio e acompanhamento adequados da empresa?(Responda se, mesmo à distância, você recebe apoio da empresa.)</t>
  </si>
  <si>
    <t>Coluna6</t>
  </si>
  <si>
    <t>Coluna7</t>
  </si>
  <si>
    <t>Coluna8</t>
  </si>
  <si>
    <t>Coluna9</t>
  </si>
  <si>
    <t>Coluna10</t>
  </si>
  <si>
    <t>Coluna11</t>
  </si>
  <si>
    <t>Coluna12</t>
  </si>
  <si>
    <t>Coluna13</t>
  </si>
  <si>
    <t>Coluna14</t>
  </si>
  <si>
    <t>Coluna15</t>
  </si>
  <si>
    <t>Coluna16</t>
  </si>
  <si>
    <t>Coluna17</t>
  </si>
  <si>
    <t>Coluna18</t>
  </si>
  <si>
    <t>Coluna19</t>
  </si>
  <si>
    <t>Coluna20</t>
  </si>
  <si>
    <t>Coluna21</t>
  </si>
  <si>
    <t>Coluna22</t>
  </si>
  <si>
    <t>Coluna23</t>
  </si>
  <si>
    <t>Coluna24</t>
  </si>
  <si>
    <t>Coluna25</t>
  </si>
  <si>
    <t>Coluna26</t>
  </si>
  <si>
    <t>Coluna27</t>
  </si>
  <si>
    <t>Coluna28</t>
  </si>
  <si>
    <t>Coluna29</t>
  </si>
  <si>
    <t>Coluna30</t>
  </si>
  <si>
    <t>Coluna31</t>
  </si>
  <si>
    <t>Coluna32</t>
  </si>
  <si>
    <t>Coluna33</t>
  </si>
  <si>
    <t>Coluna34</t>
  </si>
  <si>
    <t>Coluna35</t>
  </si>
  <si>
    <t>Coluna36</t>
  </si>
  <si>
    <t>Coluna37</t>
  </si>
  <si>
    <t>Coluna38</t>
  </si>
  <si>
    <t>Coluna39</t>
  </si>
  <si>
    <t>Coluna40</t>
  </si>
  <si>
    <t>Fatores de Risco</t>
  </si>
  <si>
    <t>Fontes Geradoras do Risco</t>
  </si>
  <si>
    <t>Ausência de feedback; foco exclusivo em metas; reconhecimento desigual; falta de plano de crescimento.</t>
  </si>
  <si>
    <t>Subutilização de competências; ociosidade; má distribuição de tarefas; funções pouco desafiadoras.</t>
  </si>
  <si>
    <t>Cultura permissiva a desrespeito; ausência de canal de
 denúncia; liderança despreparada; comunicação violenta.</t>
  </si>
  <si>
    <t>Liderança ausente; falta de escuta; cobrança sem
 acompanhamento; RH pouco atuante.</t>
  </si>
  <si>
    <t>Comunicação inadequada; mudanças abruptas; falta de 
planejamento; insegurança quanto à estabilidade.</t>
  </si>
  <si>
    <t>Falta de definição de responsabilidades; ordens 
contraditórias; comunicação confusa; atribuições
 mal definidas.</t>
  </si>
  <si>
    <t>Microgestão; excesso de burocracia; centralização de 
decisões; baixa confiança na equipe.</t>
  </si>
  <si>
    <t>Critérios pouco transparentes; favorecimento; 
desigualdade de tratamento; decisões pouco claras.</t>
  </si>
  <si>
    <t>Isolamento social; falta de acompanhamento; comunicação  exclusivamente digital; baixa integração da equipe.</t>
  </si>
  <si>
    <t>Falta de protocolos de segurança; exposição a risco;
 ausência de treinamento; falta de suporte pós-evento.</t>
  </si>
  <si>
    <t>Metas irrealistas; equipe insuficiente; jornadas prolongadas;  acúmulo de funções.</t>
  </si>
  <si>
    <t>Turnos desalinhados; distância física; falha nos meios de 
comunicação; fluxo de informação inadequado.</t>
  </si>
  <si>
    <t>Comunicação agressiva; rivalidade interna; conflitos mal 
geridos; liderança despreparada.</t>
  </si>
  <si>
    <t xml:space="preserve">Ex: Assédio de Toda e Qualquer Natureza </t>
  </si>
  <si>
    <t>Ex: Falta de suporte/apoio no trabalho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</si>
</sst>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mmmm/yyyy"/>
    <numFmt numFmtId="166" formatCode="0.0"/>
  </numFmts>
  <fonts count="59" x14ac:knownFonts="1">
    <font>
      <sz val="11"/>
      <color theme="1"/>
      <name val="Calibri"/>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3"/>
      <color theme="1"/>
      <name val="Calibri"/>
      <family val="2"/>
      <scheme val="minor"/>
    </font>
    <font>
      <sz val="10"/>
      <color theme="1"/>
      <name val="Calibri"/>
      <family val="2"/>
      <scheme val="minor"/>
    </font>
    <font>
      <b/>
      <sz val="11"/>
      <color theme="0"/>
      <name val="Calibri"/>
      <family val="2"/>
      <scheme val="minor"/>
    </font>
    <font>
      <sz val="8"/>
      <name val="Calibri"/>
      <family val="2"/>
      <scheme val="minor"/>
    </font>
    <font>
      <sz val="10"/>
      <name val="Arial"/>
      <family val="2"/>
    </font>
    <font>
      <b/>
      <sz val="12"/>
      <color rgb="FFFFFFFF"/>
      <name val="Calibri"/>
      <family val="2"/>
      <scheme val="minor"/>
    </font>
    <font>
      <b/>
      <sz val="13"/>
      <color theme="1"/>
      <name val="Calibri"/>
      <family val="2"/>
      <scheme val="minor"/>
    </font>
    <font>
      <b/>
      <sz val="13"/>
      <color rgb="FFFFFFFF"/>
      <name val="Calibri"/>
      <family val="2"/>
      <scheme val="minor"/>
    </font>
    <font>
      <b/>
      <sz val="16"/>
      <color theme="0"/>
      <name val="Calibri"/>
      <family val="2"/>
      <scheme val="minor"/>
    </font>
    <font>
      <sz val="10"/>
      <color theme="0"/>
      <name val="Arial"/>
      <family val="2"/>
    </font>
    <font>
      <b/>
      <sz val="20"/>
      <color rgb="FFFFFFFF"/>
      <name val="Calibri"/>
      <family val="2"/>
      <scheme val="minor"/>
    </font>
    <font>
      <sz val="10"/>
      <name val="Arial"/>
      <family val="2"/>
    </font>
    <font>
      <b/>
      <sz val="12"/>
      <color theme="1"/>
      <name val="Calibri"/>
      <family val="2"/>
      <scheme val="minor"/>
    </font>
    <font>
      <sz val="10"/>
      <color theme="1"/>
      <name val="Calibri"/>
      <family val="2"/>
      <scheme val="minor"/>
    </font>
    <font>
      <sz val="18"/>
      <color rgb="FFFFFFFF"/>
      <name val="Calibri"/>
      <family val="2"/>
      <scheme val="minor"/>
    </font>
    <font>
      <b/>
      <sz val="17"/>
      <color theme="1"/>
      <name val="Calibri"/>
      <family val="2"/>
      <scheme val="minor"/>
    </font>
    <font>
      <sz val="17"/>
      <color theme="1"/>
      <name val="Calibri"/>
      <family val="2"/>
      <scheme val="minor"/>
    </font>
    <font>
      <sz val="28"/>
      <color theme="1"/>
      <name val="Calibri"/>
      <family val="2"/>
      <scheme val="minor"/>
    </font>
    <font>
      <sz val="35"/>
      <color theme="1"/>
      <name val="Calibri"/>
      <family val="2"/>
      <scheme val="minor"/>
    </font>
    <font>
      <b/>
      <sz val="16"/>
      <color rgb="FFFFFFFF"/>
      <name val="Calibri"/>
      <family val="2"/>
      <scheme val="minor"/>
    </font>
    <font>
      <b/>
      <sz val="16"/>
      <color theme="1"/>
      <name val="Calibri"/>
      <family val="2"/>
      <scheme val="minor"/>
    </font>
    <font>
      <sz val="10"/>
      <color theme="0"/>
      <name val="Arial"/>
      <family val="2"/>
    </font>
    <font>
      <b/>
      <sz val="12"/>
      <color theme="0"/>
      <name val="Calibri"/>
      <family val="2"/>
      <scheme val="minor"/>
    </font>
    <font>
      <sz val="12"/>
      <color theme="0"/>
      <name val="Calibri"/>
      <family val="2"/>
      <scheme val="minor"/>
    </font>
    <font>
      <b/>
      <sz val="17"/>
      <color theme="0"/>
      <name val="Calibri"/>
      <family val="2"/>
      <scheme val="minor"/>
    </font>
    <font>
      <sz val="15"/>
      <color theme="0"/>
      <name val="Calibri"/>
      <family val="2"/>
      <scheme val="minor"/>
    </font>
    <font>
      <b/>
      <sz val="14"/>
      <color theme="1"/>
      <name val="Calibri"/>
      <family val="2"/>
      <scheme val="major"/>
    </font>
    <font>
      <b/>
      <sz val="14"/>
      <name val="Calibri"/>
      <family val="2"/>
      <scheme val="major"/>
    </font>
    <font>
      <b/>
      <sz val="16"/>
      <color rgb="FFFFFFFF"/>
      <name val="Aptos Narrow"/>
      <family val="34"/>
    </font>
    <font>
      <b/>
      <sz val="16"/>
      <color theme="1"/>
      <name val="Aptos Narrow"/>
      <family val="34"/>
    </font>
    <font>
      <sz val="16"/>
      <color theme="1"/>
      <name val="Aptos Narrow"/>
      <family val="34"/>
    </font>
    <font>
      <sz val="16"/>
      <color theme="1"/>
      <name val="Calibri"/>
      <family val="2"/>
      <scheme val="minor"/>
    </font>
    <font>
      <sz val="16"/>
      <color theme="1"/>
      <name val="Arial"/>
      <family val="2"/>
    </font>
    <font>
      <b/>
      <sz val="18"/>
      <color theme="0"/>
      <name val="Calibri"/>
      <family val="2"/>
      <scheme val="minor"/>
    </font>
    <font>
      <b/>
      <sz val="14"/>
      <color theme="1"/>
      <name val="Calibri"/>
      <family val="2"/>
      <scheme val="minor"/>
    </font>
    <font>
      <b/>
      <sz val="20"/>
      <color rgb="FFFFFFFF"/>
      <name val="Arial"/>
      <family val="2"/>
    </font>
    <font>
      <sz val="14"/>
      <color theme="1"/>
      <name val="Calibri"/>
      <family val="2"/>
      <scheme val="minor"/>
    </font>
    <font>
      <sz val="16"/>
      <color theme="0"/>
      <name val="Arial"/>
      <family val="2"/>
    </font>
    <font>
      <b/>
      <sz val="16"/>
      <color theme="0"/>
      <name val="Arial"/>
      <family val="2"/>
    </font>
    <font>
      <b/>
      <sz val="12"/>
      <color theme="0"/>
      <name val="Arial"/>
      <family val="2"/>
    </font>
    <font>
      <b/>
      <sz val="12"/>
      <color rgb="FF000000"/>
      <name val="Arial"/>
      <family val="2"/>
    </font>
    <font>
      <sz val="11"/>
      <color rgb="FF000000"/>
      <name val="Arial"/>
      <family val="2"/>
    </font>
    <font>
      <b/>
      <sz val="11"/>
      <color rgb="FF000000"/>
      <name val="Arial"/>
      <family val="2"/>
    </font>
    <font>
      <b/>
      <sz val="12"/>
      <color rgb="FF356854"/>
      <name val="Arial"/>
      <family val="2"/>
    </font>
    <font>
      <sz val="10"/>
      <color rgb="FF434343"/>
      <name val="Roboto"/>
    </font>
    <font>
      <b/>
      <sz val="20"/>
      <color theme="0"/>
      <name val="Calibri"/>
      <family val="2"/>
      <scheme val="minor"/>
    </font>
    <font>
      <b/>
      <sz val="14"/>
      <color theme="0"/>
      <name val="Calibri"/>
      <family val="2"/>
      <scheme val="minor"/>
    </font>
    <font>
      <b/>
      <sz val="14"/>
      <color theme="0"/>
      <name val="Arial"/>
      <family val="2"/>
    </font>
    <font>
      <b/>
      <sz val="13"/>
      <color theme="0"/>
      <name val="Calibri"/>
      <family val="2"/>
      <scheme val="minor"/>
    </font>
    <font>
      <sz val="10"/>
      <color theme="0"/>
      <name val="Calibri"/>
      <family val="2"/>
      <scheme val="minor"/>
    </font>
    <font>
      <sz val="18"/>
      <color theme="0"/>
      <name val="Calibri"/>
      <family val="2"/>
      <scheme val="minor"/>
    </font>
    <font>
      <sz val="10"/>
      <color theme="1"/>
      <name val="Roboto"/>
    </font>
  </fonts>
  <fills count="34">
    <fill>
      <patternFill patternType="none"/>
    </fill>
    <fill>
      <patternFill patternType="gray125"/>
    </fill>
    <fill>
      <patternFill patternType="solid">
        <fgColor rgb="FF00B050"/>
        <bgColor indexed="64"/>
      </patternFill>
    </fill>
    <fill>
      <patternFill patternType="solid">
        <fgColor rgb="FFFFFFFF"/>
        <bgColor rgb="FFFFFFFF"/>
      </patternFill>
    </fill>
    <fill>
      <patternFill patternType="solid">
        <fgColor rgb="FFFFFF00"/>
        <bgColor rgb="FFFFFF00"/>
      </patternFill>
    </fill>
    <fill>
      <patternFill patternType="solid">
        <fgColor rgb="FFFFC000"/>
        <bgColor indexed="64"/>
      </patternFill>
    </fill>
    <fill>
      <patternFill patternType="solid">
        <fgColor rgb="FFFF0000"/>
        <bgColor indexed="64"/>
      </patternFill>
    </fill>
    <fill>
      <patternFill patternType="solid">
        <fgColor rgb="FF356854"/>
        <bgColor theme="9"/>
      </patternFill>
    </fill>
    <fill>
      <patternFill patternType="solid">
        <fgColor rgb="FF356854"/>
        <bgColor indexed="64"/>
      </patternFill>
    </fill>
    <fill>
      <patternFill patternType="solid">
        <fgColor rgb="FF356854"/>
        <bgColor rgb="FF46BDC6"/>
      </patternFill>
    </fill>
    <fill>
      <patternFill patternType="solid">
        <fgColor rgb="FF356854"/>
        <bgColor rgb="FFD0E0E3"/>
      </patternFill>
    </fill>
    <fill>
      <patternFill patternType="solid">
        <fgColor rgb="FF00B050"/>
        <bgColor theme="7"/>
      </patternFill>
    </fill>
    <fill>
      <patternFill patternType="solid">
        <fgColor theme="3" tint="4.9989318521683403E-2"/>
        <bgColor rgb="FFFF0000"/>
      </patternFill>
    </fill>
    <fill>
      <patternFill patternType="solid">
        <fgColor theme="3" tint="4.9989318521683403E-2"/>
        <bgColor indexed="64"/>
      </patternFill>
    </fill>
    <fill>
      <patternFill patternType="solid">
        <fgColor rgb="FFFF0000"/>
        <bgColor theme="8"/>
      </patternFill>
    </fill>
    <fill>
      <patternFill patternType="solid">
        <fgColor rgb="FF275317"/>
        <bgColor indexed="64"/>
      </patternFill>
    </fill>
    <fill>
      <patternFill patternType="solid">
        <fgColor rgb="FFD9F2D0"/>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5CA82"/>
        <bgColor indexed="64"/>
      </patternFill>
    </fill>
    <fill>
      <patternFill patternType="solid">
        <fgColor rgb="FF003F5A"/>
        <bgColor indexed="64"/>
      </patternFill>
    </fill>
    <fill>
      <patternFill patternType="solid">
        <fgColor rgb="FF003F5A"/>
        <bgColor theme="9"/>
      </patternFill>
    </fill>
    <fill>
      <patternFill patternType="solid">
        <fgColor rgb="FF003F5A"/>
        <bgColor rgb="FF46BDC6"/>
      </patternFill>
    </fill>
    <fill>
      <patternFill patternType="solid">
        <fgColor rgb="FF003F5A"/>
        <bgColor rgb="FF356854"/>
      </patternFill>
    </fill>
    <fill>
      <patternFill patternType="solid">
        <fgColor rgb="FF003F5A"/>
        <bgColor rgb="FFCFE2F3"/>
      </patternFill>
    </fill>
    <fill>
      <patternFill patternType="solid">
        <fgColor rgb="FFE8DA92"/>
        <bgColor theme="9"/>
      </patternFill>
    </fill>
    <fill>
      <patternFill patternType="solid">
        <fgColor theme="0"/>
        <bgColor theme="9"/>
      </patternFill>
    </fill>
    <fill>
      <patternFill patternType="solid">
        <fgColor rgb="FFD5CA82"/>
        <bgColor rgb="FFD0E0E3"/>
      </patternFill>
    </fill>
    <fill>
      <patternFill patternType="solid">
        <fgColor rgb="FF003F5A"/>
        <bgColor rgb="FFD0E0E3"/>
      </patternFill>
    </fill>
    <fill>
      <patternFill patternType="solid">
        <fgColor rgb="FFE8DA92"/>
        <bgColor indexed="64"/>
      </patternFill>
    </fill>
  </fills>
  <borders count="58">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5B3F86"/>
      </left>
      <right/>
      <top/>
      <bottom style="thin">
        <color rgb="FF000000"/>
      </bottom>
      <diagonal/>
    </border>
    <border>
      <left/>
      <right style="thin">
        <color rgb="FF5B3F86"/>
      </right>
      <top/>
      <bottom/>
      <diagonal/>
    </border>
    <border>
      <left style="thin">
        <color rgb="FF284E3F"/>
      </left>
      <right style="thin">
        <color rgb="FF356854"/>
      </right>
      <top/>
      <bottom style="thin">
        <color rgb="FF284E3F"/>
      </bottom>
      <diagonal/>
    </border>
    <border>
      <left style="thin">
        <color rgb="FF356854"/>
      </left>
      <right style="thin">
        <color rgb="FF356854"/>
      </right>
      <top/>
      <bottom style="thin">
        <color rgb="FF284E3F"/>
      </bottom>
      <diagonal/>
    </border>
    <border>
      <left style="thin">
        <color rgb="FF442F65"/>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442F65"/>
      </right>
      <top style="thin">
        <color rgb="FFFFFFFF"/>
      </top>
      <bottom style="thin">
        <color rgb="FF442F65"/>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thin">
        <color rgb="FFFFFFFF"/>
      </left>
      <right style="thin">
        <color rgb="FFFFFFFF"/>
      </right>
      <top style="thin">
        <color rgb="FFFFFFFF"/>
      </top>
      <bottom/>
      <diagonal/>
    </border>
  </borders>
  <cellStyleXfs count="1">
    <xf numFmtId="0" fontId="0" fillId="0" borderId="0"/>
  </cellStyleXfs>
  <cellXfs count="233">
    <xf numFmtId="0" fontId="0" fillId="0" borderId="0" xfId="0"/>
    <xf numFmtId="0" fontId="7" fillId="0" borderId="8" xfId="0" applyFont="1" applyBorder="1" applyAlignment="1">
      <alignment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6" fillId="2" borderId="0" xfId="0" applyFont="1" applyFill="1" applyAlignment="1">
      <alignment horizontal="center"/>
    </xf>
    <xf numFmtId="0" fontId="4" fillId="0" borderId="0" xfId="0" applyFont="1"/>
    <xf numFmtId="0" fontId="4" fillId="0" borderId="0" xfId="0" quotePrefix="1" applyFont="1"/>
    <xf numFmtId="0" fontId="6" fillId="5" borderId="7" xfId="0" applyFont="1" applyFill="1" applyBorder="1" applyAlignment="1">
      <alignment horizontal="center" vertical="top"/>
    </xf>
    <xf numFmtId="0" fontId="9" fillId="8" borderId="0" xfId="0" applyFont="1" applyFill="1"/>
    <xf numFmtId="0" fontId="9" fillId="8" borderId="6" xfId="0" applyFont="1" applyFill="1" applyBorder="1" applyAlignment="1">
      <alignment horizontal="center" vertical="top"/>
    </xf>
    <xf numFmtId="0" fontId="9" fillId="8" borderId="7" xfId="0" applyFont="1" applyFill="1" applyBorder="1" applyAlignment="1">
      <alignment horizontal="center" vertical="top"/>
    </xf>
    <xf numFmtId="0" fontId="20" fillId="0" borderId="17" xfId="0" applyFont="1" applyBorder="1"/>
    <xf numFmtId="165" fontId="19" fillId="0" borderId="17" xfId="0" applyNumberFormat="1" applyFont="1" applyBorder="1" applyAlignment="1">
      <alignment horizontal="center"/>
    </xf>
    <xf numFmtId="0" fontId="20" fillId="3" borderId="17" xfId="0" applyFont="1" applyFill="1" applyBorder="1"/>
    <xf numFmtId="0" fontId="20" fillId="0" borderId="17" xfId="0" applyFont="1" applyBorder="1" applyAlignment="1">
      <alignment vertical="center"/>
    </xf>
    <xf numFmtId="0" fontId="27" fillId="0" borderId="17" xfId="0" applyFont="1" applyBorder="1"/>
    <xf numFmtId="0" fontId="26" fillId="9" borderId="17" xfId="0" applyFont="1" applyFill="1" applyBorder="1"/>
    <xf numFmtId="14" fontId="13" fillId="0" borderId="26" xfId="0" applyNumberFormat="1" applyFont="1" applyBorder="1"/>
    <xf numFmtId="0" fontId="33" fillId="0" borderId="16" xfId="0" applyFont="1" applyBorder="1" applyAlignment="1">
      <alignment horizontal="center" vertical="center"/>
    </xf>
    <xf numFmtId="0" fontId="34" fillId="0" borderId="26" xfId="0" applyFont="1" applyBorder="1" applyAlignment="1">
      <alignment horizontal="center" vertical="center"/>
    </xf>
    <xf numFmtId="0" fontId="38" fillId="0" borderId="0" xfId="0" applyFont="1"/>
    <xf numFmtId="0" fontId="35" fillId="15" borderId="17" xfId="0" applyFont="1" applyFill="1" applyBorder="1" applyAlignment="1">
      <alignment readingOrder="1"/>
    </xf>
    <xf numFmtId="0" fontId="37" fillId="16" borderId="17" xfId="0" applyFont="1" applyFill="1" applyBorder="1" applyAlignment="1">
      <alignment readingOrder="1"/>
    </xf>
    <xf numFmtId="0" fontId="35" fillId="15" borderId="17" xfId="0" applyFont="1" applyFill="1" applyBorder="1" applyAlignment="1">
      <alignment horizontal="center" vertical="center" readingOrder="1"/>
    </xf>
    <xf numFmtId="0" fontId="38" fillId="0" borderId="0" xfId="0" applyFont="1" applyAlignment="1">
      <alignment horizontal="center" vertical="center"/>
    </xf>
    <xf numFmtId="0" fontId="35" fillId="15" borderId="17" xfId="0" applyFont="1" applyFill="1" applyBorder="1" applyAlignment="1">
      <alignment vertical="center" readingOrder="1"/>
    </xf>
    <xf numFmtId="0" fontId="38" fillId="0" borderId="0" xfId="0" applyFont="1" applyAlignment="1">
      <alignment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0" fillId="0" borderId="0" xfId="0" applyAlignment="1">
      <alignment horizontal="center" vertical="center"/>
    </xf>
    <xf numFmtId="0" fontId="0" fillId="0" borderId="0" xfId="0"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5" fillId="0" borderId="9" xfId="0" applyFont="1" applyBorder="1" applyAlignment="1" applyProtection="1">
      <alignment horizontal="left" vertical="center"/>
      <protection locked="0"/>
    </xf>
    <xf numFmtId="0" fontId="5" fillId="0" borderId="11"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11" xfId="0" applyFont="1" applyBorder="1" applyAlignment="1" applyProtection="1">
      <alignment horizontal="left" vertical="center"/>
      <protection locked="0"/>
    </xf>
    <xf numFmtId="0" fontId="5" fillId="0" borderId="12"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5" fillId="0" borderId="13" xfId="0" applyFont="1" applyBorder="1" applyAlignment="1" applyProtection="1">
      <alignment horizontal="left" vertical="center"/>
      <protection locked="0"/>
    </xf>
    <xf numFmtId="0" fontId="0" fillId="0" borderId="0" xfId="0" applyAlignment="1" applyProtection="1">
      <alignment horizontal="left" vertical="center"/>
      <protection locked="0"/>
    </xf>
    <xf numFmtId="0" fontId="34" fillId="0" borderId="31" xfId="0" applyFont="1" applyBorder="1" applyAlignment="1">
      <alignment horizontal="center" vertical="center"/>
    </xf>
    <xf numFmtId="0" fontId="33" fillId="0" borderId="25" xfId="0" applyFont="1" applyBorder="1" applyAlignment="1">
      <alignment horizontal="center" vertical="center"/>
    </xf>
    <xf numFmtId="0" fontId="19" fillId="17" borderId="26" xfId="0" applyFont="1" applyFill="1" applyBorder="1" applyAlignment="1">
      <alignment horizontal="center" vertical="center"/>
    </xf>
    <xf numFmtId="2" fontId="0" fillId="0" borderId="0" xfId="0" applyNumberFormat="1"/>
    <xf numFmtId="0" fontId="9" fillId="8" borderId="34" xfId="0" applyFont="1" applyFill="1" applyBorder="1" applyAlignment="1">
      <alignment horizontal="center" vertical="top"/>
    </xf>
    <xf numFmtId="0" fontId="9" fillId="8" borderId="35" xfId="0" applyFont="1" applyFill="1" applyBorder="1" applyAlignment="1">
      <alignment horizontal="center" vertical="top"/>
    </xf>
    <xf numFmtId="0" fontId="36" fillId="16" borderId="25" xfId="0" applyFont="1" applyFill="1" applyBorder="1" applyAlignment="1">
      <alignment horizontal="center" vertical="center" readingOrder="1"/>
    </xf>
    <xf numFmtId="0" fontId="36" fillId="18" borderId="23" xfId="0" applyFont="1" applyFill="1" applyBorder="1" applyAlignment="1">
      <alignment vertical="center" readingOrder="1"/>
    </xf>
    <xf numFmtId="0" fontId="37" fillId="18" borderId="15" xfId="0" applyFont="1" applyFill="1" applyBorder="1" applyAlignment="1">
      <alignment readingOrder="1"/>
    </xf>
    <xf numFmtId="0" fontId="35" fillId="5" borderId="17" xfId="0" applyFont="1" applyFill="1" applyBorder="1" applyAlignment="1">
      <alignment vertical="center" readingOrder="1"/>
    </xf>
    <xf numFmtId="0" fontId="43" fillId="18" borderId="0" xfId="0" applyFont="1" applyFill="1"/>
    <xf numFmtId="0" fontId="39" fillId="15" borderId="15" xfId="0" applyFont="1" applyFill="1" applyBorder="1" applyAlignment="1">
      <alignment readingOrder="1"/>
    </xf>
    <xf numFmtId="0" fontId="39" fillId="15" borderId="16" xfId="0" applyFont="1" applyFill="1" applyBorder="1" applyAlignment="1">
      <alignment readingOrder="1"/>
    </xf>
    <xf numFmtId="0" fontId="13" fillId="0" borderId="14" xfId="0" applyFont="1" applyBorder="1"/>
    <xf numFmtId="0" fontId="11" fillId="0" borderId="16" xfId="0" applyFont="1" applyBorder="1"/>
    <xf numFmtId="0" fontId="44" fillId="15" borderId="14" xfId="0" applyFont="1" applyFill="1" applyBorder="1" applyAlignment="1">
      <alignment readingOrder="1"/>
    </xf>
    <xf numFmtId="0" fontId="45" fillId="15" borderId="14" xfId="0" applyFont="1" applyFill="1" applyBorder="1" applyAlignment="1">
      <alignment readingOrder="1"/>
    </xf>
    <xf numFmtId="0" fontId="36" fillId="18" borderId="25" xfId="0" applyFont="1" applyFill="1" applyBorder="1" applyAlignment="1">
      <alignment horizontal="center" vertical="center" readingOrder="1"/>
    </xf>
    <xf numFmtId="0" fontId="20" fillId="0" borderId="16" xfId="0" applyFont="1" applyBorder="1"/>
    <xf numFmtId="164" fontId="8" fillId="0" borderId="36" xfId="0" applyNumberFormat="1" applyFont="1" applyBorder="1" applyAlignment="1">
      <alignment vertical="center"/>
    </xf>
    <xf numFmtId="0" fontId="8" fillId="0" borderId="9" xfId="0" applyFont="1" applyBorder="1" applyAlignment="1">
      <alignment vertical="center"/>
    </xf>
    <xf numFmtId="0" fontId="8" fillId="0" borderId="37" xfId="0" applyFont="1" applyBorder="1" applyAlignment="1">
      <alignment vertical="center"/>
    </xf>
    <xf numFmtId="164" fontId="8" fillId="0" borderId="38" xfId="0" applyNumberFormat="1" applyFont="1" applyBorder="1" applyAlignment="1">
      <alignment vertical="center"/>
    </xf>
    <xf numFmtId="0" fontId="8" fillId="0" borderId="39" xfId="0" applyFont="1" applyBorder="1" applyAlignment="1">
      <alignment vertical="center"/>
    </xf>
    <xf numFmtId="0" fontId="8" fillId="0" borderId="40" xfId="0" applyFont="1" applyBorder="1" applyAlignment="1">
      <alignment vertical="center"/>
    </xf>
    <xf numFmtId="164" fontId="8" fillId="0" borderId="4" xfId="0" applyNumberFormat="1" applyFont="1" applyBorder="1" applyAlignment="1">
      <alignment vertical="center"/>
    </xf>
    <xf numFmtId="0" fontId="8" fillId="0" borderId="5" xfId="0" applyFont="1" applyBorder="1" applyAlignment="1">
      <alignment vertical="center"/>
    </xf>
    <xf numFmtId="0" fontId="8" fillId="0" borderId="41" xfId="0" applyFont="1" applyBorder="1" applyAlignment="1">
      <alignment vertical="center"/>
    </xf>
    <xf numFmtId="0" fontId="6" fillId="19" borderId="0" xfId="0" applyFont="1" applyFill="1" applyAlignment="1">
      <alignment horizontal="center"/>
    </xf>
    <xf numFmtId="0" fontId="0" fillId="18" borderId="0" xfId="0" applyFill="1"/>
    <xf numFmtId="0" fontId="1" fillId="0" borderId="0" xfId="0" applyFont="1"/>
    <xf numFmtId="0" fontId="0" fillId="0" borderId="42" xfId="0" pivotButton="1" applyBorder="1"/>
    <xf numFmtId="0" fontId="0" fillId="0" borderId="44" xfId="0" applyBorder="1"/>
    <xf numFmtId="0" fontId="0" fillId="0" borderId="42" xfId="0" applyBorder="1" applyAlignment="1">
      <alignment horizontal="left"/>
    </xf>
    <xf numFmtId="0" fontId="0" fillId="0" borderId="43" xfId="0" applyBorder="1" applyAlignment="1">
      <alignment horizontal="left"/>
    </xf>
    <xf numFmtId="0" fontId="0" fillId="0" borderId="47" xfId="0" applyBorder="1" applyAlignment="1">
      <alignment horizontal="left"/>
    </xf>
    <xf numFmtId="0" fontId="48" fillId="0" borderId="48" xfId="0" applyFont="1" applyBorder="1"/>
    <xf numFmtId="0" fontId="48" fillId="0" borderId="50" xfId="0" applyFont="1" applyBorder="1" applyAlignment="1">
      <alignment wrapText="1"/>
    </xf>
    <xf numFmtId="0" fontId="48" fillId="0" borderId="50" xfId="0" applyFont="1" applyBorder="1"/>
    <xf numFmtId="0" fontId="48" fillId="0" borderId="51" xfId="0" applyFont="1" applyBorder="1"/>
    <xf numFmtId="0" fontId="48" fillId="0" borderId="52" xfId="0" applyFont="1" applyBorder="1"/>
    <xf numFmtId="0" fontId="48" fillId="0" borderId="53" xfId="0" applyFont="1" applyBorder="1"/>
    <xf numFmtId="0" fontId="48" fillId="0" borderId="51" xfId="0" applyFont="1" applyBorder="1" applyAlignment="1">
      <alignment wrapText="1"/>
    </xf>
    <xf numFmtId="0" fontId="48" fillId="0" borderId="50" xfId="0" applyFont="1" applyBorder="1" applyAlignment="1">
      <alignment vertical="center" wrapText="1"/>
    </xf>
    <xf numFmtId="0" fontId="47" fillId="0" borderId="49" xfId="0" applyFont="1" applyBorder="1"/>
    <xf numFmtId="0" fontId="47" fillId="0" borderId="49" xfId="0" applyFont="1" applyBorder="1" applyAlignment="1">
      <alignment vertical="center"/>
    </xf>
    <xf numFmtId="0" fontId="50" fillId="0" borderId="54" xfId="0" applyFont="1" applyBorder="1"/>
    <xf numFmtId="0" fontId="50" fillId="0" borderId="55" xfId="0" applyFont="1" applyBorder="1"/>
    <xf numFmtId="0" fontId="50" fillId="0" borderId="56" xfId="0" applyFont="1" applyBorder="1"/>
    <xf numFmtId="0" fontId="51" fillId="0" borderId="0" xfId="0" applyFont="1"/>
    <xf numFmtId="0" fontId="0" fillId="20" borderId="0" xfId="0" applyFill="1"/>
    <xf numFmtId="0" fontId="7" fillId="0" borderId="57" xfId="0" applyFont="1" applyBorder="1" applyAlignment="1">
      <alignment vertical="center"/>
    </xf>
    <xf numFmtId="166" fontId="7" fillId="0" borderId="9" xfId="0" applyNumberFormat="1" applyFont="1" applyBorder="1" applyAlignment="1">
      <alignment vertical="center"/>
    </xf>
    <xf numFmtId="166" fontId="7" fillId="0" borderId="57" xfId="0" applyNumberFormat="1" applyFont="1" applyBorder="1" applyAlignment="1">
      <alignment vertical="center"/>
    </xf>
    <xf numFmtId="0" fontId="0" fillId="22" borderId="0" xfId="0" applyFill="1"/>
    <xf numFmtId="0" fontId="27" fillId="22" borderId="0" xfId="0" applyFont="1" applyFill="1" applyAlignment="1">
      <alignment horizontal="center" vertical="center"/>
    </xf>
    <xf numFmtId="0" fontId="43" fillId="22" borderId="0" xfId="0" applyFont="1" applyFill="1"/>
    <xf numFmtId="0" fontId="3" fillId="22" borderId="0" xfId="0" applyFont="1" applyFill="1"/>
    <xf numFmtId="0" fontId="42" fillId="21" borderId="48" xfId="0" applyFont="1" applyFill="1" applyBorder="1" applyAlignment="1">
      <alignment horizontal="center" vertical="center"/>
    </xf>
    <xf numFmtId="0" fontId="47" fillId="22" borderId="49" xfId="0" applyFont="1" applyFill="1" applyBorder="1" applyAlignment="1">
      <alignment horizontal="left" vertical="center"/>
    </xf>
    <xf numFmtId="0" fontId="48" fillId="22" borderId="50" xfId="0" applyFont="1" applyFill="1" applyBorder="1" applyAlignment="1">
      <alignment wrapText="1"/>
    </xf>
    <xf numFmtId="0" fontId="47" fillId="22" borderId="49" xfId="0" applyFont="1" applyFill="1" applyBorder="1" applyAlignment="1">
      <alignment vertical="center"/>
    </xf>
    <xf numFmtId="0" fontId="50" fillId="22" borderId="49" xfId="0" applyFont="1" applyFill="1" applyBorder="1" applyAlignment="1">
      <alignment horizontal="left" vertical="center" wrapText="1"/>
    </xf>
    <xf numFmtId="0" fontId="48" fillId="22" borderId="50" xfId="0" applyFont="1" applyFill="1" applyBorder="1" applyAlignment="1">
      <alignment horizontal="left" vertical="center" wrapText="1"/>
    </xf>
    <xf numFmtId="0" fontId="50" fillId="22" borderId="49" xfId="0" applyFont="1" applyFill="1" applyBorder="1" applyAlignment="1">
      <alignment horizontal="left" vertical="center"/>
    </xf>
    <xf numFmtId="0" fontId="47" fillId="22" borderId="49" xfId="0" applyFont="1" applyFill="1" applyBorder="1"/>
    <xf numFmtId="0" fontId="48" fillId="22" borderId="50" xfId="0" applyFont="1" applyFill="1" applyBorder="1"/>
    <xf numFmtId="0" fontId="0" fillId="18" borderId="26" xfId="0" applyFill="1" applyBorder="1"/>
    <xf numFmtId="0" fontId="0" fillId="23" borderId="0" xfId="0" applyFill="1"/>
    <xf numFmtId="0" fontId="9" fillId="18" borderId="2" xfId="0" applyFont="1" applyFill="1" applyBorder="1" applyAlignment="1">
      <alignment horizontal="left" vertical="center"/>
    </xf>
    <xf numFmtId="0" fontId="9" fillId="18" borderId="3" xfId="0" applyFont="1" applyFill="1" applyBorder="1" applyAlignment="1">
      <alignment horizontal="left" vertical="center"/>
    </xf>
    <xf numFmtId="0" fontId="9" fillId="18" borderId="0" xfId="0" applyFont="1" applyFill="1"/>
    <xf numFmtId="0" fontId="0" fillId="24" borderId="0" xfId="0" applyFill="1"/>
    <xf numFmtId="0" fontId="14" fillId="25" borderId="23" xfId="0" applyFont="1" applyFill="1" applyBorder="1" applyAlignment="1">
      <alignment horizontal="center" vertical="center"/>
    </xf>
    <xf numFmtId="0" fontId="14" fillId="25" borderId="26" xfId="0" applyFont="1" applyFill="1" applyBorder="1" applyAlignment="1">
      <alignment horizontal="center" vertical="center"/>
    </xf>
    <xf numFmtId="0" fontId="12" fillId="26" borderId="26" xfId="0" applyFont="1" applyFill="1" applyBorder="1" applyAlignment="1">
      <alignment horizontal="center" vertical="center"/>
    </xf>
    <xf numFmtId="0" fontId="43" fillId="23" borderId="0" xfId="0" applyFont="1" applyFill="1"/>
    <xf numFmtId="0" fontId="53" fillId="28" borderId="26" xfId="0" applyFont="1" applyFill="1" applyBorder="1" applyAlignment="1">
      <alignment horizontal="center"/>
    </xf>
    <xf numFmtId="0" fontId="41" fillId="30" borderId="17" xfId="0" applyFont="1" applyFill="1" applyBorder="1" applyAlignment="1">
      <alignment vertical="center"/>
    </xf>
    <xf numFmtId="0" fontId="41" fillId="30" borderId="18" xfId="0" applyFont="1" applyFill="1" applyBorder="1" applyAlignment="1">
      <alignment vertical="center"/>
    </xf>
    <xf numFmtId="0" fontId="46" fillId="24" borderId="15" xfId="0" applyFont="1" applyFill="1" applyBorder="1" applyAlignment="1">
      <alignment horizontal="left" vertical="center"/>
    </xf>
    <xf numFmtId="0" fontId="15" fillId="25" borderId="14" xfId="0" applyFont="1" applyFill="1" applyBorder="1" applyAlignment="1">
      <alignment vertical="center"/>
    </xf>
    <xf numFmtId="0" fontId="29" fillId="32" borderId="18" xfId="0" applyFont="1" applyFill="1" applyBorder="1" applyAlignment="1">
      <alignment horizontal="left" vertical="center"/>
    </xf>
    <xf numFmtId="0" fontId="9" fillId="24" borderId="26" xfId="0" applyFont="1" applyFill="1" applyBorder="1" applyAlignment="1">
      <alignment horizontal="left"/>
    </xf>
    <xf numFmtId="0" fontId="20" fillId="29" borderId="17" xfId="0" applyFont="1" applyFill="1" applyBorder="1"/>
    <xf numFmtId="0" fontId="20" fillId="33" borderId="17" xfId="0" applyFont="1" applyFill="1" applyBorder="1"/>
    <xf numFmtId="165" fontId="29" fillId="23" borderId="17" xfId="0" applyNumberFormat="1" applyFont="1" applyFill="1" applyBorder="1" applyAlignment="1">
      <alignment horizontal="center" vertical="center"/>
    </xf>
    <xf numFmtId="165" fontId="29" fillId="23" borderId="17" xfId="0" applyNumberFormat="1" applyFont="1" applyFill="1" applyBorder="1" applyAlignment="1">
      <alignment vertical="center"/>
    </xf>
    <xf numFmtId="17" fontId="29" fillId="23" borderId="17" xfId="0" applyNumberFormat="1" applyFont="1" applyFill="1" applyBorder="1" applyAlignment="1">
      <alignment horizontal="center" vertical="center"/>
    </xf>
    <xf numFmtId="0" fontId="56" fillId="29" borderId="17" xfId="0" applyFont="1" applyFill="1" applyBorder="1"/>
    <xf numFmtId="0" fontId="57" fillId="24" borderId="26" xfId="0" applyFont="1" applyFill="1" applyBorder="1" applyAlignment="1" applyProtection="1">
      <alignment horizontal="center" vertical="center"/>
      <protection locked="0"/>
    </xf>
    <xf numFmtId="0" fontId="41" fillId="23" borderId="26" xfId="0" applyFont="1" applyFill="1" applyBorder="1" applyAlignment="1">
      <alignment vertical="center"/>
    </xf>
    <xf numFmtId="0" fontId="6" fillId="23" borderId="26" xfId="0" applyFont="1" applyFill="1" applyBorder="1" applyAlignment="1">
      <alignment vertical="center"/>
    </xf>
    <xf numFmtId="0" fontId="6" fillId="23" borderId="26" xfId="0" applyFont="1" applyFill="1" applyBorder="1" applyAlignment="1" applyProtection="1">
      <alignment horizontal="center" vertical="center"/>
      <protection locked="0"/>
    </xf>
    <xf numFmtId="0" fontId="9" fillId="24" borderId="6" xfId="0" applyFont="1" applyFill="1" applyBorder="1" applyAlignment="1" applyProtection="1">
      <alignment horizontal="center" vertical="center"/>
      <protection locked="0"/>
    </xf>
    <xf numFmtId="0" fontId="9" fillId="24" borderId="7" xfId="0" applyFont="1" applyFill="1" applyBorder="1" applyAlignment="1" applyProtection="1">
      <alignment horizontal="center" vertical="center"/>
      <protection locked="0"/>
    </xf>
    <xf numFmtId="0" fontId="9" fillId="24" borderId="7" xfId="0" applyFont="1" applyFill="1" applyBorder="1" applyAlignment="1" applyProtection="1">
      <alignment horizontal="left" vertical="center"/>
      <protection locked="0"/>
    </xf>
    <xf numFmtId="0" fontId="9" fillId="24" borderId="7" xfId="0" applyFont="1" applyFill="1" applyBorder="1" applyAlignment="1">
      <alignment horizontal="center" vertical="center"/>
    </xf>
    <xf numFmtId="0" fontId="9" fillId="24" borderId="6" xfId="0" applyFont="1" applyFill="1" applyBorder="1" applyAlignment="1">
      <alignment horizontal="center" vertical="top"/>
    </xf>
    <xf numFmtId="0" fontId="9" fillId="24" borderId="7" xfId="0" applyFont="1" applyFill="1" applyBorder="1" applyAlignment="1">
      <alignment horizontal="center" vertical="top"/>
    </xf>
    <xf numFmtId="0" fontId="55" fillId="24" borderId="0" xfId="0" applyFont="1" applyFill="1" applyAlignment="1">
      <alignment horizontal="center" vertical="center"/>
    </xf>
    <xf numFmtId="0" fontId="34" fillId="0" borderId="15" xfId="0" applyFont="1" applyBorder="1" applyAlignment="1">
      <alignment horizontal="center" vertical="center"/>
    </xf>
    <xf numFmtId="0" fontId="1" fillId="0" borderId="26" xfId="0" applyFont="1" applyBorder="1" applyAlignment="1">
      <alignment vertical="center"/>
    </xf>
    <xf numFmtId="0" fontId="1" fillId="0" borderId="26" xfId="0" applyFont="1" applyBorder="1" applyAlignment="1">
      <alignment vertical="center" wrapText="1"/>
    </xf>
    <xf numFmtId="0" fontId="6" fillId="0" borderId="26" xfId="0" applyFont="1" applyBorder="1" applyAlignment="1">
      <alignment vertical="center"/>
    </xf>
    <xf numFmtId="0" fontId="1" fillId="23" borderId="1" xfId="0" applyFont="1" applyFill="1" applyBorder="1" applyAlignment="1">
      <alignment horizontal="left" vertical="center"/>
    </xf>
    <xf numFmtId="0" fontId="1" fillId="23" borderId="2" xfId="0" applyFont="1" applyFill="1" applyBorder="1" applyAlignment="1">
      <alignment horizontal="left" vertical="center"/>
    </xf>
    <xf numFmtId="0" fontId="58" fillId="23" borderId="0" xfId="0" applyFont="1" applyFill="1" applyAlignment="1">
      <alignment vertical="top" wrapText="1"/>
    </xf>
    <xf numFmtId="0" fontId="58" fillId="23" borderId="0" xfId="0" applyFont="1" applyFill="1" applyAlignment="1">
      <alignment vertical="top"/>
    </xf>
    <xf numFmtId="0" fontId="0" fillId="0" borderId="45" xfId="0" applyBorder="1"/>
    <xf numFmtId="0" fontId="0" fillId="0" borderId="46" xfId="0" applyBorder="1"/>
    <xf numFmtId="0" fontId="50" fillId="0" borderId="54" xfId="0" applyFont="1" applyBorder="1" applyAlignment="1">
      <alignment horizontal="left" vertical="center"/>
    </xf>
    <xf numFmtId="0" fontId="50" fillId="0" borderId="56" xfId="0" applyFont="1" applyBorder="1" applyAlignment="1">
      <alignment horizontal="left" vertical="center"/>
    </xf>
    <xf numFmtId="0" fontId="2" fillId="23" borderId="26" xfId="0" applyFont="1" applyFill="1" applyBorder="1" applyAlignment="1">
      <alignment horizontal="center" vertical="center"/>
    </xf>
    <xf numFmtId="0" fontId="41" fillId="23" borderId="26" xfId="0" applyFont="1" applyFill="1" applyBorder="1" applyAlignment="1">
      <alignment horizontal="center" vertical="center"/>
    </xf>
    <xf numFmtId="0" fontId="19" fillId="23" borderId="26" xfId="0" applyFont="1" applyFill="1" applyBorder="1" applyAlignment="1">
      <alignment horizontal="center" vertical="center"/>
    </xf>
    <xf numFmtId="0" fontId="54" fillId="24" borderId="28" xfId="0" applyFont="1" applyFill="1" applyBorder="1" applyAlignment="1">
      <alignment horizontal="center"/>
    </xf>
    <xf numFmtId="0" fontId="54" fillId="24" borderId="29" xfId="0" applyFont="1" applyFill="1" applyBorder="1" applyAlignment="1">
      <alignment horizontal="center"/>
    </xf>
    <xf numFmtId="0" fontId="54" fillId="24" borderId="30" xfId="0" applyFont="1" applyFill="1" applyBorder="1" applyAlignment="1">
      <alignment horizontal="center"/>
    </xf>
    <xf numFmtId="0" fontId="52" fillId="24" borderId="26" xfId="0" applyFont="1" applyFill="1" applyBorder="1" applyAlignment="1">
      <alignment horizontal="center" vertical="center"/>
    </xf>
    <xf numFmtId="0" fontId="0" fillId="18" borderId="28" xfId="0" applyFill="1" applyBorder="1" applyAlignment="1">
      <alignment horizontal="center"/>
    </xf>
    <xf numFmtId="0" fontId="0" fillId="18" borderId="30" xfId="0" applyFill="1" applyBorder="1" applyAlignment="1">
      <alignment horizontal="center"/>
    </xf>
    <xf numFmtId="0" fontId="8" fillId="0" borderId="14" xfId="0" applyFont="1" applyBorder="1" applyAlignment="1">
      <alignment wrapText="1"/>
    </xf>
    <xf numFmtId="0" fontId="11" fillId="0" borderId="15" xfId="0" applyFont="1" applyBorder="1"/>
    <xf numFmtId="0" fontId="11" fillId="0" borderId="16" xfId="0" applyFont="1" applyBorder="1"/>
    <xf numFmtId="0" fontId="8" fillId="0" borderId="20" xfId="0" applyFont="1" applyBorder="1"/>
    <xf numFmtId="0" fontId="11" fillId="0" borderId="21" xfId="0" applyFont="1" applyBorder="1"/>
    <xf numFmtId="0" fontId="11" fillId="0" borderId="22" xfId="0" applyFont="1" applyBorder="1"/>
    <xf numFmtId="0" fontId="15" fillId="28" borderId="26" xfId="0" applyFont="1" applyFill="1" applyBorder="1" applyAlignment="1">
      <alignment horizontal="center"/>
    </xf>
    <xf numFmtId="0" fontId="16" fillId="24" borderId="26" xfId="0" applyFont="1" applyFill="1" applyBorder="1"/>
    <xf numFmtId="0" fontId="40" fillId="27" borderId="32" xfId="0" applyFont="1" applyFill="1" applyBorder="1" applyAlignment="1">
      <alignment horizontal="center" vertical="center"/>
    </xf>
    <xf numFmtId="0" fontId="40" fillId="27" borderId="24" xfId="0" applyFont="1" applyFill="1" applyBorder="1" applyAlignment="1">
      <alignment horizontal="center" vertical="center"/>
    </xf>
    <xf numFmtId="0" fontId="40" fillId="27" borderId="33" xfId="0" applyFont="1" applyFill="1" applyBorder="1" applyAlignment="1">
      <alignment horizontal="center" vertical="center"/>
    </xf>
    <xf numFmtId="0" fontId="13" fillId="0" borderId="14" xfId="0" applyFont="1" applyBorder="1"/>
    <xf numFmtId="0" fontId="13" fillId="3" borderId="14" xfId="0" applyFont="1" applyFill="1" applyBorder="1"/>
    <xf numFmtId="0" fontId="11" fillId="0" borderId="25" xfId="0" applyFont="1" applyBorder="1"/>
    <xf numFmtId="0" fontId="0" fillId="0" borderId="0" xfId="0" applyAlignment="1">
      <alignment horizontal="center"/>
    </xf>
    <xf numFmtId="0" fontId="17" fillId="25" borderId="0" xfId="0" applyFont="1" applyFill="1" applyAlignment="1">
      <alignment horizontal="center" vertical="center"/>
    </xf>
    <xf numFmtId="0" fontId="0" fillId="24" borderId="0" xfId="0" applyFill="1"/>
    <xf numFmtId="0" fontId="55" fillId="31" borderId="18" xfId="0" applyFont="1" applyFill="1" applyBorder="1" applyAlignment="1">
      <alignment horizontal="center" vertical="center"/>
    </xf>
    <xf numFmtId="0" fontId="16" fillId="23" borderId="19" xfId="0" applyFont="1" applyFill="1" applyBorder="1"/>
    <xf numFmtId="0" fontId="55" fillId="31" borderId="14" xfId="0" applyFont="1" applyFill="1" applyBorder="1" applyAlignment="1">
      <alignment horizontal="center" vertical="center"/>
    </xf>
    <xf numFmtId="0" fontId="16" fillId="23" borderId="15" xfId="0" applyFont="1" applyFill="1" applyBorder="1"/>
    <xf numFmtId="0" fontId="16" fillId="23" borderId="16" xfId="0" applyFont="1" applyFill="1" applyBorder="1"/>
    <xf numFmtId="0" fontId="22" fillId="14" borderId="14" xfId="0" applyFont="1" applyFill="1" applyBorder="1" applyAlignment="1">
      <alignment vertical="center"/>
    </xf>
    <xf numFmtId="0" fontId="18" fillId="6" borderId="15" xfId="0" applyFont="1" applyFill="1" applyBorder="1"/>
    <xf numFmtId="0" fontId="18" fillId="6" borderId="16" xfId="0" applyFont="1" applyFill="1" applyBorder="1"/>
    <xf numFmtId="0" fontId="23" fillId="0" borderId="18" xfId="0" applyFont="1" applyBorder="1" applyAlignment="1">
      <alignment horizontal="center" vertical="center"/>
    </xf>
    <xf numFmtId="0" fontId="18" fillId="0" borderId="19" xfId="0" applyFont="1" applyBorder="1"/>
    <xf numFmtId="0" fontId="25" fillId="0" borderId="0" xfId="0" applyFont="1" applyAlignment="1">
      <alignment horizontal="center" vertical="center"/>
    </xf>
    <xf numFmtId="0" fontId="0" fillId="0" borderId="0" xfId="0"/>
    <xf numFmtId="0" fontId="32" fillId="10" borderId="20" xfId="0" applyFont="1" applyFill="1" applyBorder="1" applyAlignment="1">
      <alignment horizontal="center" vertical="center" wrapText="1"/>
    </xf>
    <xf numFmtId="0" fontId="28" fillId="8" borderId="21" xfId="0" applyFont="1" applyFill="1" applyBorder="1"/>
    <xf numFmtId="0" fontId="28" fillId="8" borderId="22" xfId="0" applyFont="1" applyFill="1" applyBorder="1"/>
    <xf numFmtId="0" fontId="28" fillId="8" borderId="23" xfId="0" applyFont="1" applyFill="1" applyBorder="1"/>
    <xf numFmtId="0" fontId="28" fillId="8" borderId="24" xfId="0" applyFont="1" applyFill="1" applyBorder="1"/>
    <xf numFmtId="0" fontId="28" fillId="8" borderId="25" xfId="0" applyFont="1" applyFill="1" applyBorder="1"/>
    <xf numFmtId="0" fontId="31" fillId="12" borderId="14" xfId="0" applyFont="1" applyFill="1" applyBorder="1" applyAlignment="1">
      <alignment vertical="center"/>
    </xf>
    <xf numFmtId="0" fontId="28" fillId="13" borderId="15" xfId="0" applyFont="1" applyFill="1" applyBorder="1"/>
    <xf numFmtId="0" fontId="28" fillId="13" borderId="16" xfId="0" applyFont="1" applyFill="1" applyBorder="1"/>
    <xf numFmtId="0" fontId="24" fillId="0" borderId="14" xfId="0" applyFont="1" applyBorder="1" applyAlignment="1">
      <alignment horizontal="center"/>
    </xf>
    <xf numFmtId="0" fontId="18" fillId="0" borderId="15" xfId="0" applyFont="1" applyBorder="1"/>
    <xf numFmtId="0" fontId="18" fillId="0" borderId="16" xfId="0" applyFont="1" applyBorder="1"/>
    <xf numFmtId="0" fontId="21" fillId="7" borderId="14" xfId="0" applyFont="1" applyFill="1" applyBorder="1" applyAlignment="1">
      <alignment horizontal="center"/>
    </xf>
    <xf numFmtId="0" fontId="18" fillId="8" borderId="15" xfId="0" applyFont="1" applyFill="1" applyBorder="1"/>
    <xf numFmtId="0" fontId="18" fillId="8" borderId="16" xfId="0" applyFont="1" applyFill="1" applyBorder="1"/>
    <xf numFmtId="0" fontId="30" fillId="10" borderId="14" xfId="0" applyFont="1" applyFill="1" applyBorder="1" applyAlignment="1">
      <alignment horizontal="center" vertical="center"/>
    </xf>
    <xf numFmtId="0" fontId="28" fillId="8" borderId="15" xfId="0" applyFont="1" applyFill="1" applyBorder="1"/>
    <xf numFmtId="0" fontId="28" fillId="8" borderId="16" xfId="0" applyFont="1" applyFill="1" applyBorder="1"/>
    <xf numFmtId="0" fontId="22" fillId="11" borderId="14" xfId="0" applyFont="1" applyFill="1" applyBorder="1" applyAlignment="1">
      <alignment vertical="center"/>
    </xf>
    <xf numFmtId="0" fontId="18" fillId="2" borderId="15" xfId="0" applyFont="1" applyFill="1" applyBorder="1"/>
    <xf numFmtId="0" fontId="18" fillId="2" borderId="16" xfId="0" applyFont="1" applyFill="1" applyBorder="1"/>
    <xf numFmtId="0" fontId="22" fillId="4" borderId="14" xfId="0" applyFont="1" applyFill="1" applyBorder="1" applyAlignment="1">
      <alignment vertical="center"/>
    </xf>
    <xf numFmtId="0" fontId="35" fillId="21" borderId="14" xfId="0" applyFont="1" applyFill="1" applyBorder="1" applyAlignment="1">
      <alignment readingOrder="1"/>
    </xf>
    <xf numFmtId="0" fontId="35" fillId="21" borderId="15" xfId="0" applyFont="1" applyFill="1" applyBorder="1" applyAlignment="1">
      <alignment readingOrder="1"/>
    </xf>
    <xf numFmtId="0" fontId="35" fillId="21" borderId="16" xfId="0" applyFont="1" applyFill="1" applyBorder="1" applyAlignment="1">
      <alignment readingOrder="1"/>
    </xf>
    <xf numFmtId="0" fontId="39" fillId="15" borderId="14" xfId="0" applyFont="1" applyFill="1" applyBorder="1" applyAlignment="1">
      <alignment readingOrder="1"/>
    </xf>
    <xf numFmtId="0" fontId="39" fillId="15" borderId="15" xfId="0" applyFont="1" applyFill="1" applyBorder="1" applyAlignment="1">
      <alignment readingOrder="1"/>
    </xf>
    <xf numFmtId="0" fontId="39" fillId="15" borderId="16" xfId="0" applyFont="1" applyFill="1" applyBorder="1" applyAlignment="1">
      <alignment readingOrder="1"/>
    </xf>
    <xf numFmtId="0" fontId="36" fillId="16" borderId="18" xfId="0" applyFont="1" applyFill="1" applyBorder="1" applyAlignment="1">
      <alignment vertical="center" readingOrder="1"/>
    </xf>
    <xf numFmtId="0" fontId="36" fillId="16" borderId="27" xfId="0" applyFont="1" applyFill="1" applyBorder="1" applyAlignment="1">
      <alignment vertical="center" readingOrder="1"/>
    </xf>
    <xf numFmtId="0" fontId="36" fillId="16" borderId="19" xfId="0" applyFont="1" applyFill="1" applyBorder="1" applyAlignment="1">
      <alignment vertical="center" readingOrder="1"/>
    </xf>
    <xf numFmtId="0" fontId="36" fillId="16" borderId="18" xfId="0" applyFont="1" applyFill="1" applyBorder="1" applyAlignment="1">
      <alignment horizontal="center" vertical="center" readingOrder="1"/>
    </xf>
    <xf numFmtId="0" fontId="36" fillId="16" borderId="27" xfId="0" applyFont="1" applyFill="1" applyBorder="1" applyAlignment="1">
      <alignment horizontal="center" vertical="center" readingOrder="1"/>
    </xf>
    <xf numFmtId="0" fontId="36" fillId="16" borderId="19" xfId="0" applyFont="1" applyFill="1" applyBorder="1" applyAlignment="1">
      <alignment horizontal="center" vertical="center" readingOrder="1"/>
    </xf>
    <xf numFmtId="0" fontId="35" fillId="21" borderId="14" xfId="0" applyFont="1" applyFill="1" applyBorder="1" applyAlignment="1">
      <alignment horizontal="left" readingOrder="1"/>
    </xf>
    <xf numFmtId="0" fontId="35" fillId="21" borderId="15" xfId="0" applyFont="1" applyFill="1" applyBorder="1" applyAlignment="1">
      <alignment horizontal="left" readingOrder="1"/>
    </xf>
    <xf numFmtId="0" fontId="35" fillId="21" borderId="16" xfId="0" applyFont="1" applyFill="1" applyBorder="1" applyAlignment="1">
      <alignment horizontal="left" readingOrder="1"/>
    </xf>
    <xf numFmtId="0" fontId="44" fillId="15" borderId="14" xfId="0" applyFont="1" applyFill="1" applyBorder="1" applyAlignment="1">
      <alignment readingOrder="1"/>
    </xf>
    <xf numFmtId="0" fontId="44" fillId="15" borderId="15" xfId="0" applyFont="1" applyFill="1" applyBorder="1" applyAlignment="1">
      <alignment readingOrder="1"/>
    </xf>
    <xf numFmtId="0" fontId="44" fillId="15" borderId="16" xfId="0" applyFont="1" applyFill="1" applyBorder="1" applyAlignment="1">
      <alignment readingOrder="1"/>
    </xf>
  </cellXfs>
  <cellStyles count="1">
    <cellStyle name="Normal" xfId="0" builtinId="0"/>
  </cellStyles>
  <dxfs count="144">
    <dxf>
      <fill>
        <patternFill>
          <bgColor rgb="FF00B050"/>
        </patternFill>
      </fill>
    </dxf>
    <dxf>
      <fill>
        <patternFill>
          <bgColor rgb="FFFFFF00"/>
        </patternFill>
      </fill>
    </dxf>
    <dxf>
      <fill>
        <patternFill>
          <bgColor rgb="FFFF0000"/>
        </patternFill>
      </fill>
    </dxf>
    <dxf>
      <font>
        <b/>
        <i val="0"/>
        <color theme="0"/>
      </font>
      <fill>
        <patternFill>
          <bgColor theme="1"/>
        </patternFill>
      </fill>
    </dxf>
    <dxf>
      <fill>
        <patternFill>
          <bgColor rgb="FFFF0000"/>
        </patternFill>
      </fill>
    </dxf>
    <dxf>
      <fill>
        <patternFill>
          <bgColor rgb="FFFFFF00"/>
        </patternFill>
      </fill>
    </dxf>
    <dxf>
      <fill>
        <patternFill>
          <bgColor rgb="FF00B050"/>
        </patternFill>
      </fill>
    </dxf>
    <dxf>
      <font>
        <b val="0"/>
        <i val="0"/>
        <strike val="0"/>
        <condense val="0"/>
        <extend val="0"/>
        <outline val="0"/>
        <shadow val="0"/>
        <u val="none"/>
        <vertAlign val="baseline"/>
        <sz val="13"/>
        <color theme="1"/>
        <name val="Calibri"/>
        <family val="2"/>
        <scheme val="minor"/>
      </font>
      <alignment horizontal="general" vertical="center" textRotation="0" wrapText="0" indent="0" justifyLastLine="0" shrinkToFit="0" readingOrder="0"/>
      <border diagonalUp="0" diagonalDown="0">
        <left style="thin">
          <color rgb="FF284E3F"/>
        </left>
        <right style="thin">
          <color rgb="FFFFFFFF"/>
        </right>
        <top style="thin">
          <color rgb="FFFFFFFF"/>
        </top>
        <bottom style="thin">
          <color rgb="FFFFFFFF"/>
        </bottom>
        <vertical/>
        <horizontal/>
      </border>
    </dxf>
    <dxf>
      <border outline="0">
        <top style="thin">
          <color rgb="FF284E3F"/>
        </top>
      </border>
    </dxf>
    <dxf>
      <border outline="0">
        <bottom style="thin">
          <color rgb="FF284E3F"/>
        </bottom>
      </border>
    </dxf>
    <dxf>
      <font>
        <b/>
        <i val="0"/>
        <strike val="0"/>
        <condense val="0"/>
        <extend val="0"/>
        <outline val="0"/>
        <shadow val="0"/>
        <u val="none"/>
        <vertAlign val="baseline"/>
        <sz val="11"/>
        <color theme="0"/>
        <name val="Calibri"/>
        <family val="2"/>
        <scheme val="minor"/>
      </font>
      <fill>
        <patternFill patternType="solid">
          <fgColor indexed="64"/>
          <bgColor rgb="FF356854"/>
        </patternFill>
      </fill>
      <alignment horizontal="center" vertical="top" textRotation="0" wrapText="0" indent="0" justifyLastLine="0" shrinkToFit="0" readingOrder="0"/>
      <border diagonalUp="0" diagonalDown="0" outline="0">
        <left style="thin">
          <color rgb="FF356854"/>
        </left>
        <right style="thin">
          <color rgb="FF356854"/>
        </right>
        <top/>
        <bottom/>
      </border>
    </dxf>
    <dxf>
      <font>
        <b/>
        <i val="0"/>
        <strike val="0"/>
        <condense val="0"/>
        <extend val="0"/>
        <outline val="0"/>
        <shadow val="0"/>
        <u val="none"/>
        <vertAlign val="baseline"/>
        <sz val="14"/>
        <color theme="1"/>
        <name val="Calibri"/>
        <family val="2"/>
        <scheme val="major"/>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font>
        <b/>
        <i val="0"/>
        <strike val="0"/>
        <condense val="0"/>
        <extend val="0"/>
        <outline val="0"/>
        <shadow val="0"/>
        <u val="none"/>
        <vertAlign val="baseline"/>
        <sz val="14"/>
        <color auto="1"/>
        <name val="Calibri"/>
        <family val="2"/>
        <scheme val="major"/>
      </font>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4"/>
        <color auto="1"/>
        <name val="Calibri"/>
        <family val="2"/>
        <scheme val="major"/>
      </font>
      <alignment horizontal="center" vertical="center" textRotation="0" wrapText="0" indent="0" justifyLastLine="0" shrinkToFit="0" readingOrder="0"/>
      <border diagonalUp="0" diagonalDown="0" outline="0">
        <left style="thin">
          <color indexed="64"/>
        </left>
        <right/>
        <top style="thin">
          <color rgb="FF000000"/>
        </top>
        <bottom style="thin">
          <color rgb="FF000000"/>
        </bottom>
      </border>
    </dxf>
    <dxf>
      <font>
        <strike val="0"/>
        <outline val="0"/>
        <shadow val="0"/>
        <u val="none"/>
        <vertAlign val="baseline"/>
        <sz val="11"/>
        <color theme="1"/>
        <name val="Calibri"/>
        <family val="2"/>
        <scheme val="minor"/>
      </font>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font>
        <b/>
      </font>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top style="thin">
          <color rgb="FF000000"/>
        </top>
      </border>
    </dxf>
    <dxf>
      <fill>
        <patternFill patternType="solid">
          <bgColor rgb="FF003F5A"/>
        </patternFill>
      </fill>
    </dxf>
    <dxf>
      <font>
        <b val="0"/>
        <i val="0"/>
        <strike val="0"/>
        <condense val="0"/>
        <extend val="0"/>
        <outline val="0"/>
        <shadow val="0"/>
        <u val="none"/>
        <vertAlign val="baseline"/>
        <sz val="13"/>
        <color theme="1"/>
        <name val="Calibri"/>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3"/>
        <color theme="1"/>
        <name val="Calibri"/>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border outline="0">
        <left style="thin">
          <color rgb="FFFFFFFF"/>
        </left>
      </border>
    </dxf>
    <dxf>
      <font>
        <b val="0"/>
        <i val="0"/>
        <strike val="0"/>
        <condense val="0"/>
        <extend val="0"/>
        <outline val="0"/>
        <shadow val="0"/>
        <u val="none"/>
        <vertAlign val="baseline"/>
        <sz val="13"/>
        <color theme="1"/>
        <name val="Calibri"/>
        <family val="2"/>
        <scheme val="minor"/>
      </font>
      <numFmt numFmtId="166" formatCode="0.0"/>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border outline="0">
        <right style="thin">
          <color rgb="FFFFFFFF"/>
        </right>
      </border>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1" hidden="0"/>
    </dxf>
    <dxf>
      <alignment horizontal="center"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strike val="0"/>
        <outline val="0"/>
        <shadow val="0"/>
        <u val="none"/>
        <vertAlign val="baseline"/>
        <sz val="11"/>
        <color theme="0"/>
        <name val="Calibri"/>
        <family val="2"/>
        <scheme val="minor"/>
      </font>
      <fill>
        <patternFill patternType="solid">
          <fgColor indexed="64"/>
          <bgColor rgb="FF003F5A"/>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442F65"/>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164" formatCode="m/d/yyyy\ h:mm:ss"/>
      <alignment horizontal="general" vertical="center" textRotation="0" wrapText="0" indent="0" justifyLastLine="0" shrinkToFit="0" readingOrder="0"/>
      <border diagonalUp="0" diagonalDown="0">
        <left style="thin">
          <color rgb="FF442F65"/>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bgColor rgb="FF00B05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
    <tableStyle name="Dados do Forms-style" pivot="0" count="3" xr9:uid="{00000000-0011-0000-FFFF-FFFF00000000}">
      <tableStyleElement type="headerRow" dxfId="143"/>
      <tableStyleElement type="firstRowStripe" dxfId="142"/>
      <tableStyleElement type="secondRowStripe" dxfId="141"/>
    </tableStyle>
    <tableStyle name="Escala-style" pivot="0" count="3" xr9:uid="{00000000-0011-0000-FFFF-FFFF01000000}">
      <tableStyleElement type="headerRow" dxfId="140"/>
      <tableStyleElement type="firstRowStripe" dxfId="139"/>
      <tableStyleElement type="secondRowStripe" dxfId="138"/>
    </tableStyle>
    <tableStyle name="Estilo de Segmentação de Dados 1" pivot="0" table="0" count="1" xr9:uid="{6AD2E3C3-87B1-49F4-88F2-F77D39572A12}">
      <tableStyleElement type="wholeTable" dxfId="137"/>
    </tableStyle>
    <tableStyle name="Resumo por Tópico-style" pivot="0" count="3" xr9:uid="{00000000-0011-0000-FFFF-FFFF02000000}">
      <tableStyleElement type="headerRow" dxfId="136"/>
      <tableStyleElement type="firstRowStripe" dxfId="135"/>
      <tableStyleElement type="secondRowStripe" dxfId="134"/>
    </tableStyle>
    <tableStyle name="Resumo por Tópico-style 2" pivot="0" count="2" xr9:uid="{00000000-0011-0000-FFFF-FFFF03000000}">
      <tableStyleElement type="firstRowStripe" dxfId="133"/>
      <tableStyleElement type="secondRowStripe" dxfId="132"/>
    </tableStyle>
    <tableStyle name="Explicação-style" pivot="0" count="3" xr9:uid="{00000000-0011-0000-FFFF-FFFF04000000}">
      <tableStyleElement type="headerRow" dxfId="131"/>
      <tableStyleElement type="firstRowStripe" dxfId="130"/>
      <tableStyleElement type="secondRowStripe" dxfId="129"/>
    </tableStyle>
  </tableStyles>
  <colors>
    <mruColors>
      <color rgb="FFD5CA82"/>
      <color rgb="FF003F5A"/>
      <color rgb="FFE8DA92"/>
      <color rgb="FF356854"/>
      <color rgb="FFFFFF66"/>
    </mruColors>
  </colors>
  <extLst>
    <ext xmlns:x14="http://schemas.microsoft.com/office/spreadsheetml/2009/9/main" uri="{EB79DEF2-80B8-43e5-95BD-54CBDDF9020C}">
      <x14:slicerStyles defaultSlicerStyle="SlicerStyleLight1">
        <x14:slicerStyle name="Estilo de Segmentação de Dad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Matriz de Risco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pieChart>
        <c:varyColors val="1"/>
        <c:ser>
          <c:idx val="0"/>
          <c:order val="0"/>
          <c:dPt>
            <c:idx val="0"/>
            <c:bubble3D val="0"/>
            <c:spPr>
              <a:gradFill rotWithShape="1">
                <a:gsLst>
                  <a:gs pos="0">
                    <a:schemeClr val="accent3">
                      <a:tint val="58000"/>
                      <a:satMod val="103000"/>
                      <a:lumMod val="102000"/>
                      <a:tint val="94000"/>
                    </a:schemeClr>
                  </a:gs>
                  <a:gs pos="50000">
                    <a:schemeClr val="accent3">
                      <a:tint val="58000"/>
                      <a:satMod val="110000"/>
                      <a:lumMod val="100000"/>
                      <a:shade val="100000"/>
                    </a:schemeClr>
                  </a:gs>
                  <a:gs pos="100000">
                    <a:schemeClr val="accent3">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4A-4603-A5DC-16865747F1FD}"/>
              </c:ext>
            </c:extLst>
          </c:dPt>
          <c:dPt>
            <c:idx val="1"/>
            <c:bubble3D val="0"/>
            <c:spPr>
              <a:gradFill rotWithShape="1">
                <a:gsLst>
                  <a:gs pos="0">
                    <a:schemeClr val="accent3">
                      <a:tint val="86000"/>
                      <a:satMod val="103000"/>
                      <a:lumMod val="102000"/>
                      <a:tint val="94000"/>
                    </a:schemeClr>
                  </a:gs>
                  <a:gs pos="50000">
                    <a:schemeClr val="accent3">
                      <a:tint val="86000"/>
                      <a:satMod val="110000"/>
                      <a:lumMod val="100000"/>
                      <a:shade val="100000"/>
                    </a:schemeClr>
                  </a:gs>
                  <a:gs pos="100000">
                    <a:schemeClr val="accent3">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4A-4603-A5DC-16865747F1FD}"/>
              </c:ext>
            </c:extLst>
          </c:dPt>
          <c:dPt>
            <c:idx val="2"/>
            <c:bubble3D val="0"/>
            <c:spPr>
              <a:gradFill rotWithShape="1">
                <a:gsLst>
                  <a:gs pos="0">
                    <a:schemeClr val="accent3">
                      <a:shade val="86000"/>
                      <a:satMod val="103000"/>
                      <a:lumMod val="102000"/>
                      <a:tint val="94000"/>
                    </a:schemeClr>
                  </a:gs>
                  <a:gs pos="50000">
                    <a:schemeClr val="accent3">
                      <a:shade val="86000"/>
                      <a:satMod val="110000"/>
                      <a:lumMod val="100000"/>
                      <a:shade val="100000"/>
                    </a:schemeClr>
                  </a:gs>
                  <a:gs pos="100000">
                    <a:schemeClr val="accent3">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4A-4603-A5DC-16865747F1FD}"/>
              </c:ext>
            </c:extLst>
          </c:dPt>
          <c:dPt>
            <c:idx val="3"/>
            <c:bubble3D val="0"/>
            <c:spPr>
              <a:gradFill rotWithShape="1">
                <a:gsLst>
                  <a:gs pos="0">
                    <a:schemeClr val="accent3">
                      <a:shade val="58000"/>
                      <a:satMod val="103000"/>
                      <a:lumMod val="102000"/>
                      <a:tint val="94000"/>
                    </a:schemeClr>
                  </a:gs>
                  <a:gs pos="50000">
                    <a:schemeClr val="accent3">
                      <a:shade val="58000"/>
                      <a:satMod val="110000"/>
                      <a:lumMod val="100000"/>
                      <a:shade val="100000"/>
                    </a:schemeClr>
                  </a:gs>
                  <a:gs pos="100000">
                    <a:schemeClr val="accent3">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4A-4603-A5DC-16865747F1FD}"/>
              </c:ext>
            </c:extLst>
          </c:dPt>
          <c:dLbls>
            <c:dLbl>
              <c:idx val="1"/>
              <c:layout>
                <c:manualLayout>
                  <c:x val="-0.12693283137672987"/>
                  <c:y val="3.69623765935022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4A-4603-A5DC-16865747F1FD}"/>
                </c:ext>
              </c:extLst>
            </c:dLbl>
            <c:dLbl>
              <c:idx val="2"/>
              <c:layout>
                <c:manualLayout>
                  <c:x val="0.14808830327285144"/>
                  <c:y val="6.00638619644411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4A-4603-A5DC-16865747F1FD}"/>
                </c:ext>
              </c:extLst>
            </c:dLbl>
            <c:dLbl>
              <c:idx val="3"/>
              <c:layout>
                <c:manualLayout>
                  <c:x val="-0.23976201482271187"/>
                  <c:y val="0.120127723928882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64A-4603-A5DC-16865747F1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'Dados Gráficos'!$A$2:$A$5</c:f>
              <c:strCache>
                <c:ptCount val="4"/>
                <c:pt idx="0">
                  <c:v>Baixo</c:v>
                </c:pt>
                <c:pt idx="1">
                  <c:v>Médio</c:v>
                </c:pt>
                <c:pt idx="2">
                  <c:v>Alto</c:v>
                </c:pt>
                <c:pt idx="3">
                  <c:v>Crítico</c:v>
                </c:pt>
              </c:strCache>
            </c:strRef>
          </c:cat>
          <c:val>
            <c:numRef>
              <c:f>'Dados Gráficos'!$B$2:$B$5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D64A-4603-A5DC-16865747F1F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Gravidade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74-4DF9-995D-70C40B1D55D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74-4DF9-995D-70C40B1D55D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74-4DF9-995D-70C40B1D55DD}"/>
              </c:ext>
            </c:extLst>
          </c:dPt>
          <c:dLbls>
            <c:dLbl>
              <c:idx val="0"/>
              <c:layout>
                <c:manualLayout>
                  <c:x val="0.11194490595450536"/>
                  <c:y val="0.100448274508583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74-4DF9-995D-70C40B1D55DD}"/>
                </c:ext>
              </c:extLst>
            </c:dLbl>
            <c:dLbl>
              <c:idx val="1"/>
              <c:layout>
                <c:manualLayout>
                  <c:x val="-4.2468169772360578E-2"/>
                  <c:y val="9.235020360674790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74-4DF9-995D-70C40B1D55DD}"/>
                </c:ext>
              </c:extLst>
            </c:dLbl>
            <c:dLbl>
              <c:idx val="2"/>
              <c:layout>
                <c:manualLayout>
                  <c:x val="-4.8002687014132461E-2"/>
                  <c:y val="-3.83557583378111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74-4DF9-995D-70C40B1D55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'Dados Gráficos'!$A$28:$A$30</c:f>
              <c:strCache>
                <c:ptCount val="3"/>
                <c:pt idx="0">
                  <c:v>Baixa</c:v>
                </c:pt>
                <c:pt idx="1">
                  <c:v>Média</c:v>
                </c:pt>
                <c:pt idx="2">
                  <c:v>Alta</c:v>
                </c:pt>
              </c:strCache>
            </c:strRef>
          </c:cat>
          <c:val>
            <c:numRef>
              <c:f>'Dados Gráficos'!$B$28:$B$30</c:f>
              <c:numCache>
                <c:formatCode>General</c:formatCode>
                <c:ptCount val="3"/>
                <c:pt idx="0">
                  <c:v>0</c:v>
                </c:pt>
                <c:pt idx="1">
                  <c:v>0</c:v>
                </c:pt>
                <c:pt idx="2">
                  <c:v>0</c:v>
                </c:pt>
              </c:numCache>
            </c:numRef>
          </c:val>
          <c:extLst>
            <c:ext xmlns:c16="http://schemas.microsoft.com/office/drawing/2014/chart" uri="{C3380CC4-5D6E-409C-BE32-E72D297353CC}">
              <c16:uniqueId val="{00000006-1674-4DF9-995D-70C40B1D55D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102524</xdr:colOff>
      <xdr:row>2</xdr:row>
      <xdr:rowOff>1363807</xdr:rowOff>
    </xdr:from>
    <xdr:to>
      <xdr:col>14</xdr:col>
      <xdr:colOff>34018</xdr:colOff>
      <xdr:row>20</xdr:row>
      <xdr:rowOff>124732</xdr:rowOff>
    </xdr:to>
    <xdr:graphicFrame macro="">
      <xdr:nvGraphicFramePr>
        <xdr:cNvPr id="2" name="Gráfico 1">
          <a:extLst>
            <a:ext uri="{FF2B5EF4-FFF2-40B4-BE49-F238E27FC236}">
              <a16:creationId xmlns:a16="http://schemas.microsoft.com/office/drawing/2014/main" id="{8361CC32-27DE-4D7E-97D0-4D59743C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238125</xdr:colOff>
      <xdr:row>2</xdr:row>
      <xdr:rowOff>1368124</xdr:rowOff>
    </xdr:from>
    <xdr:to>
      <xdr:col>16</xdr:col>
      <xdr:colOff>4388303</xdr:colOff>
      <xdr:row>20</xdr:row>
      <xdr:rowOff>113393</xdr:rowOff>
    </xdr:to>
    <xdr:graphicFrame macro="">
      <xdr:nvGraphicFramePr>
        <xdr:cNvPr id="4" name="Gráfico 10">
          <a:extLst>
            <a:ext uri="{FF2B5EF4-FFF2-40B4-BE49-F238E27FC236}">
              <a16:creationId xmlns:a16="http://schemas.microsoft.com/office/drawing/2014/main" id="{2D753CDD-E25C-470F-A9C9-65795C412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96564</xdr:colOff>
      <xdr:row>2</xdr:row>
      <xdr:rowOff>1063133</xdr:rowOff>
    </xdr:from>
    <xdr:to>
      <xdr:col>5</xdr:col>
      <xdr:colOff>96470</xdr:colOff>
      <xdr:row>20</xdr:row>
      <xdr:rowOff>69137</xdr:rowOff>
    </xdr:to>
    <mc:AlternateContent xmlns:mc="http://schemas.openxmlformats.org/markup-compatibility/2006" xmlns:sle15="http://schemas.microsoft.com/office/drawing/2012/slicer">
      <mc:Choice Requires="sle15">
        <xdr:graphicFrame macro="">
          <xdr:nvGraphicFramePr>
            <xdr:cNvPr id="5" name="Setor 3">
              <a:extLst>
                <a:ext uri="{FF2B5EF4-FFF2-40B4-BE49-F238E27FC236}">
                  <a16:creationId xmlns:a16="http://schemas.microsoft.com/office/drawing/2014/main" id="{FCCBC8B1-4F86-443E-A373-FAB2BF946437}"/>
                </a:ext>
              </a:extLst>
            </xdr:cNvPr>
            <xdr:cNvGraphicFramePr/>
          </xdr:nvGraphicFramePr>
          <xdr:xfrm>
            <a:off x="0" y="0"/>
            <a:ext cx="0" cy="0"/>
          </xdr:xfrm>
          <a:graphic>
            <a:graphicData uri="http://schemas.microsoft.com/office/drawing/2010/slicer">
              <sle:slicer xmlns:sle="http://schemas.microsoft.com/office/drawing/2010/slicer" name="Setor 3"/>
            </a:graphicData>
          </a:graphic>
        </xdr:graphicFrame>
      </mc:Choice>
      <mc:Fallback xmlns="">
        <xdr:sp macro="" textlink="">
          <xdr:nvSpPr>
            <xdr:cNvPr id="0" name=""/>
            <xdr:cNvSpPr>
              <a:spLocks noTextEdit="1"/>
            </xdr:cNvSpPr>
          </xdr:nvSpPr>
          <xdr:spPr>
            <a:xfrm>
              <a:off x="293112" y="3210038"/>
              <a:ext cx="2721334" cy="419183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xdr:from>
      <xdr:col>1</xdr:col>
      <xdr:colOff>91439</xdr:colOff>
      <xdr:row>2</xdr:row>
      <xdr:rowOff>176991</xdr:rowOff>
    </xdr:from>
    <xdr:to>
      <xdr:col>16</xdr:col>
      <xdr:colOff>5618711</xdr:colOff>
      <xdr:row>2</xdr:row>
      <xdr:rowOff>973628</xdr:rowOff>
    </xdr:to>
    <xdr:sp macro="" textlink="">
      <xdr:nvSpPr>
        <xdr:cNvPr id="6" name="Retângulo: Cantos Diagonais Arredondados 5">
          <a:extLst>
            <a:ext uri="{FF2B5EF4-FFF2-40B4-BE49-F238E27FC236}">
              <a16:creationId xmlns:a16="http://schemas.microsoft.com/office/drawing/2014/main" id="{2C9458B7-73AA-896F-3420-7EDFFE627620}"/>
            </a:ext>
          </a:extLst>
        </xdr:cNvPr>
        <xdr:cNvSpPr/>
      </xdr:nvSpPr>
      <xdr:spPr>
        <a:xfrm>
          <a:off x="91439" y="176991"/>
          <a:ext cx="14013181" cy="796637"/>
        </a:xfrm>
        <a:prstGeom prst="round2Diag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pt-BR" sz="3200" b="1">
              <a:solidFill>
                <a:schemeClr val="bg1"/>
              </a:solidFill>
            </a:rPr>
            <a:t>PAINEL</a:t>
          </a:r>
          <a:r>
            <a:rPr lang="pt-BR" sz="3200" b="1" baseline="0">
              <a:solidFill>
                <a:schemeClr val="bg1"/>
              </a:solidFill>
            </a:rPr>
            <a:t> RESUMO NR-1</a:t>
          </a:r>
          <a:endParaRPr lang="pt-BR" sz="3200" b="1">
            <a:solidFill>
              <a:schemeClr val="bg1"/>
            </a:solidFill>
          </a:endParaRPr>
        </a:p>
      </xdr:txBody>
    </xdr:sp>
    <xdr:clientData/>
  </xdr:twoCellAnchor>
  <xdr:oneCellAnchor>
    <xdr:from>
      <xdr:col>1</xdr:col>
      <xdr:colOff>74122</xdr:colOff>
      <xdr:row>2</xdr:row>
      <xdr:rowOff>994929</xdr:rowOff>
    </xdr:from>
    <xdr:ext cx="1617302" cy="248851"/>
    <xdr:sp macro="" textlink="">
      <xdr:nvSpPr>
        <xdr:cNvPr id="7" name="CaixaDeTexto 6">
          <a:extLst>
            <a:ext uri="{FF2B5EF4-FFF2-40B4-BE49-F238E27FC236}">
              <a16:creationId xmlns:a16="http://schemas.microsoft.com/office/drawing/2014/main" id="{99E5BD8C-7E9E-3927-426A-8782B3667309}"/>
            </a:ext>
          </a:extLst>
        </xdr:cNvPr>
        <xdr:cNvSpPr txBox="1"/>
      </xdr:nvSpPr>
      <xdr:spPr>
        <a:xfrm>
          <a:off x="74122" y="994929"/>
          <a:ext cx="161730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000" i="1">
              <a:solidFill>
                <a:srgbClr val="FF0000"/>
              </a:solidFill>
            </a:rPr>
            <a:t>*Selecione</a:t>
          </a:r>
          <a:r>
            <a:rPr lang="pt-BR" sz="1000" i="1" baseline="0">
              <a:solidFill>
                <a:srgbClr val="FF0000"/>
              </a:solidFill>
            </a:rPr>
            <a:t> o setor desejado</a:t>
          </a:r>
          <a:endParaRPr lang="pt-BR" sz="1000" i="1">
            <a:solidFill>
              <a:srgbClr val="FF0000"/>
            </a:solidFill>
          </a:endParaRPr>
        </a:p>
      </xdr:txBody>
    </xdr:sp>
    <xdr:clientData/>
  </xdr:oneCellAnchor>
  <xdr:twoCellAnchor editAs="oneCell">
    <xdr:from>
      <xdr:col>1</xdr:col>
      <xdr:colOff>0</xdr:colOff>
      <xdr:row>1</xdr:row>
      <xdr:rowOff>0</xdr:rowOff>
    </xdr:from>
    <xdr:to>
      <xdr:col>16</xdr:col>
      <xdr:colOff>5634181</xdr:colOff>
      <xdr:row>2</xdr:row>
      <xdr:rowOff>166309</xdr:rowOff>
    </xdr:to>
    <xdr:pic>
      <xdr:nvPicPr>
        <xdr:cNvPr id="9" name="Imagem 8">
          <a:extLst>
            <a:ext uri="{FF2B5EF4-FFF2-40B4-BE49-F238E27FC236}">
              <a16:creationId xmlns:a16="http://schemas.microsoft.com/office/drawing/2014/main" id="{A66E5917-7DFC-7D92-4423-445EEF7372F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3892"/>
        <a:stretch/>
      </xdr:blipFill>
      <xdr:spPr>
        <a:xfrm>
          <a:off x="0" y="0"/>
          <a:ext cx="15280133" cy="21166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4069054</xdr:colOff>
      <xdr:row>4</xdr:row>
      <xdr:rowOff>126293</xdr:rowOff>
    </xdr:to>
    <mc:AlternateContent xmlns:mc="http://schemas.openxmlformats.org/markup-compatibility/2006" xmlns:sle15="http://schemas.microsoft.com/office/drawing/2012/slicer">
      <mc:Choice Requires="sle15">
        <xdr:graphicFrame macro="">
          <xdr:nvGraphicFramePr>
            <xdr:cNvPr id="2" name="Setor">
              <a:extLst>
                <a:ext uri="{FF2B5EF4-FFF2-40B4-BE49-F238E27FC236}">
                  <a16:creationId xmlns:a16="http://schemas.microsoft.com/office/drawing/2014/main" id="{BAF559E8-2E95-4645-9904-53C189EAFE58}"/>
                </a:ext>
              </a:extLst>
            </xdr:cNvPr>
            <xdr:cNvGraphicFramePr/>
          </xdr:nvGraphicFramePr>
          <xdr:xfrm>
            <a:off x="0" y="0"/>
            <a:ext cx="0" cy="0"/>
          </xdr:xfrm>
          <a:graphic>
            <a:graphicData uri="http://schemas.microsoft.com/office/drawing/2010/slicer">
              <sle:slicer xmlns:sle="http://schemas.microsoft.com/office/drawing/2010/slicer" name="Setor"/>
            </a:graphicData>
          </a:graphic>
        </xdr:graphicFrame>
      </mc:Choice>
      <mc:Fallback xmlns="">
        <xdr:sp macro="" textlink="">
          <xdr:nvSpPr>
            <xdr:cNvPr id="0" name=""/>
            <xdr:cNvSpPr>
              <a:spLocks noTextEdit="1"/>
            </xdr:cNvSpPr>
          </xdr:nvSpPr>
          <xdr:spPr>
            <a:xfrm>
              <a:off x="0" y="0"/>
              <a:ext cx="7682630" cy="112734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1735220</xdr:colOff>
      <xdr:row>5</xdr:row>
      <xdr:rowOff>174840</xdr:rowOff>
    </xdr:to>
    <mc:AlternateContent xmlns:mc="http://schemas.openxmlformats.org/markup-compatibility/2006" xmlns:sle15="http://schemas.microsoft.com/office/drawing/2012/slicer">
      <mc:Choice Requires="sle15">
        <xdr:graphicFrame macro="">
          <xdr:nvGraphicFramePr>
            <xdr:cNvPr id="2" name="Setor 1">
              <a:extLst>
                <a:ext uri="{FF2B5EF4-FFF2-40B4-BE49-F238E27FC236}">
                  <a16:creationId xmlns:a16="http://schemas.microsoft.com/office/drawing/2014/main" id="{E62ED004-17C2-4D60-9742-E9A4D27D7175}"/>
                </a:ext>
              </a:extLst>
            </xdr:cNvPr>
            <xdr:cNvGraphicFramePr/>
          </xdr:nvGraphicFramePr>
          <xdr:xfrm>
            <a:off x="0" y="0"/>
            <a:ext cx="0" cy="0"/>
          </xdr:xfrm>
          <a:graphic>
            <a:graphicData uri="http://schemas.microsoft.com/office/drawing/2010/slicer">
              <sle:slicer xmlns:sle="http://schemas.microsoft.com/office/drawing/2010/slicer" name="Setor 1"/>
            </a:graphicData>
          </a:graphic>
        </xdr:graphicFrame>
      </mc:Choice>
      <mc:Fallback xmlns="">
        <xdr:sp macro="" textlink="">
          <xdr:nvSpPr>
            <xdr:cNvPr id="0" name=""/>
            <xdr:cNvSpPr>
              <a:spLocks noTextEdit="1"/>
            </xdr:cNvSpPr>
          </xdr:nvSpPr>
          <xdr:spPr>
            <a:xfrm>
              <a:off x="0" y="0"/>
              <a:ext cx="7682630" cy="112734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292100</xdr:colOff>
      <xdr:row>0</xdr:row>
      <xdr:rowOff>132443</xdr:rowOff>
    </xdr:from>
    <xdr:to>
      <xdr:col>8</xdr:col>
      <xdr:colOff>86760</xdr:colOff>
      <xdr:row>0</xdr:row>
      <xdr:rowOff>2189843</xdr:rowOff>
    </xdr:to>
    <xdr:pic>
      <xdr:nvPicPr>
        <xdr:cNvPr id="2" name="Imagem 1">
          <a:extLst>
            <a:ext uri="{FF2B5EF4-FFF2-40B4-BE49-F238E27FC236}">
              <a16:creationId xmlns:a16="http://schemas.microsoft.com/office/drawing/2014/main" id="{692C1158-97DD-194F-B381-07AC4495D48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23892"/>
        <a:stretch/>
      </xdr:blipFill>
      <xdr:spPr>
        <a:xfrm>
          <a:off x="292100" y="132443"/>
          <a:ext cx="13528803" cy="2057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lvanapsi20@hotmail.com" id="{7F16B893-EAD3-F241-9207-EA9E69A2273D}" userId="d63a66997d960a1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or Santos" refreshedDate="46170.79587037037" createdVersion="8" refreshedVersion="8" minRefreshableVersion="3" recordCount="90" xr:uid="{A3E56687-52BF-4AED-9DAD-E1F4C970AF5F}">
  <cacheSource type="worksheet">
    <worksheetSource name="Tabela_1"/>
  </cacheSource>
  <cacheFields count="8">
    <cacheField name="Tópico" numFmtId="0">
      <sharedItems containsBlank="1" count="23">
        <s v="Tópico 01 - Assédio de qualquer natureza no trabalho"/>
        <s v="Tópico 02 - Falta de suporte/apoio no trabalho"/>
        <s v="Tópico 03 - Má gestão de mudanças organizacionais"/>
        <s v="Tópico 04 - Baixa clareza de papel/função"/>
        <s v="Tópico 05 - Baixas recompensas e reconhecimento"/>
        <s v="Tópico 06 - Baixo controle no trabalho / Falta de autonomia"/>
        <s v="Tópico 07 - Baixa justiça organizacional"/>
        <s v="Tópico 08 - Eventos violentos ou traumáticos"/>
        <s v="Tópico 09 - Baixa demanda no trabalho (Subcarga)"/>
        <s v="Tópico 10 - Excesso de demandas no trabalho (Sobrecarga)"/>
        <s v="Tópico 11 - Maus relacionamentos no local de trabalho"/>
        <s v="Tópico 12 - Trabalho em condições de difícil comunicação"/>
        <s v="Tópico 13 - Trabalho remoto e isolado"/>
        <m/>
        <s v="Tópico 01 - Assédio Moral e Sexual" u="1"/>
        <s v="Tópico 02 - Carga Excessiva de Trabalho" u="1"/>
        <s v="Tópico 03 - Reconhecimento e Recompensas" u="1"/>
        <s v="Tópico 04 - Clima Organizacional" u="1"/>
        <s v="Tópico 05 - Autonomia e Controle sobre o Trabalho" u="1"/>
        <s v="Tópico 06 - Pressão e Metas" u="1"/>
        <s v="Tópico 07 - Insegurança e Ameaças" u="1"/>
        <s v="Tópico 08 - Conflitos Interpessoais e Falta de Comunicação" u="1"/>
        <s v="Tópico 09 - Alinhamento entre Vida Pessoal e Profissional" u="1"/>
      </sharedItems>
    </cacheField>
    <cacheField name="Nº" numFmtId="0">
      <sharedItems containsString="0" containsBlank="1" containsNumber="1" containsInteger="1" minValue="1" maxValue="7"/>
    </cacheField>
    <cacheField name="Pergunta" numFmtId="0">
      <sharedItems containsBlank="1"/>
    </cacheField>
    <cacheField name="Lógica" numFmtId="0">
      <sharedItems containsBlank="1"/>
    </cacheField>
    <cacheField name="MÉDIA" numFmtId="0">
      <sharedItems/>
    </cacheField>
    <cacheField name="Pontuação Corrigida" numFmtId="0">
      <sharedItems/>
    </cacheField>
    <cacheField name="Gravidade" numFmtId="0">
      <sharedItems/>
    </cacheField>
    <cacheField name="GravidadeNum"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n v="1"/>
    <s v="Você já presenciou ou sofreu comentários ofensivos, piadas ou insinuações inadequadas no ambiente de trabalho?"/>
    <s v="Direta"/>
    <s v=""/>
    <s v=""/>
    <s v=""/>
    <s v=""/>
  </r>
  <r>
    <x v="0"/>
    <n v="2"/>
    <s v="Você se sente à vontade para relatar situações de assédio moral ou sexual na empresa sem medo de represálias?"/>
    <s v="Invertida"/>
    <s v=""/>
    <s v=""/>
    <s v=""/>
    <s v=""/>
  </r>
  <r>
    <x v="0"/>
    <n v="3"/>
    <s v="Existe um canal seguro e sigiloso para denunciar assédio na empresa?"/>
    <s v="Invertida"/>
    <s v=""/>
    <s v=""/>
    <s v=""/>
    <s v=""/>
  </r>
  <r>
    <x v="0"/>
    <n v="4"/>
    <s v="Há casos conhecidos de assédio moral ou sexual que não foram devidamente investigados ou punidos?"/>
    <s v="Direta"/>
    <s v=""/>
    <s v=""/>
    <s v=""/>
    <s v=""/>
  </r>
  <r>
    <x v="0"/>
    <n v="5"/>
    <s v="O RH e os gestores demonstram comprometimento real com a prevenção do assédio?"/>
    <s v="Invertida"/>
    <s v=""/>
    <s v=""/>
    <s v=""/>
    <s v=""/>
  </r>
  <r>
    <x v="1"/>
    <n v="1"/>
    <s v="Você sente que pode contar com seus colegas em momentos de dificuldade?"/>
    <s v="Invertida"/>
    <s v=""/>
    <s v=""/>
    <s v=""/>
    <s v=""/>
  </r>
  <r>
    <x v="1"/>
    <n v="2"/>
    <s v="Existe apoio da liderança para lidar com desafios relacionados ao trabalho?"/>
    <s v="Invertida"/>
    <s v=""/>
    <s v=""/>
    <s v=""/>
    <s v=""/>
  </r>
  <r>
    <x v="1"/>
    <n v="3"/>
    <s v="O RH está presente e atuante quando surgem conflitos ou dificuldades no trabalho?"/>
    <s v="Invertida"/>
    <s v=""/>
    <s v=""/>
    <s v=""/>
    <s v=""/>
  </r>
  <r>
    <x v="1"/>
    <n v="4"/>
    <s v="Os gestores promovem um ambiente saudável e respeitoso?"/>
    <s v="Invertida"/>
    <s v=""/>
    <s v=""/>
    <s v=""/>
    <s v=""/>
  </r>
  <r>
    <x v="1"/>
    <n v="5"/>
    <s v="Você sente que pode expressar suas dificuldades no trabalho sem ser julgado(a)?"/>
    <s v="Invertida"/>
    <s v=""/>
    <s v=""/>
    <s v=""/>
    <s v=""/>
  </r>
  <r>
    <x v="2"/>
    <n v="1"/>
    <s v="Mudanças organizacionais impactaram negativamente seu sentimento de segurança no trabalho?"/>
    <s v="Direta"/>
    <s v=""/>
    <s v=""/>
    <s v=""/>
    <s v=""/>
  </r>
  <r>
    <x v="2"/>
    <n v="2"/>
    <s v="Há comunicação clara sobre mudanças que afetam a empresa ou os trabalhadores?"/>
    <s v="Invertida"/>
    <s v=""/>
    <s v=""/>
    <s v=""/>
    <s v=""/>
  </r>
  <r>
    <x v="2"/>
    <n v="3"/>
    <s v="Você já sentiu que seu emprego estava ameaçado sem explicações claras durante períodos de mudança?"/>
    <s v="Direta"/>
    <s v=""/>
    <s v=""/>
    <s v=""/>
    <s v=""/>
  </r>
  <r>
    <x v="2"/>
    <n v="4"/>
    <s v="Existe transparência na comunicação da empresa durante processos de mudança?"/>
    <s v="Invertida"/>
    <s v=""/>
    <s v=""/>
    <s v=""/>
    <s v=""/>
  </r>
  <r>
    <x v="3"/>
    <n v="1"/>
    <s v="Você recebe instruções claras sobre suas responsabilidades no trabalho?"/>
    <s v="Invertida"/>
    <s v=""/>
    <s v=""/>
    <s v=""/>
    <s v=""/>
  </r>
  <r>
    <x v="3"/>
    <n v="2"/>
    <s v="A comunicação da empresa ajuda você a entender o que é esperado do seu trabalho?"/>
    <s v="Invertida"/>
    <s v=""/>
    <s v=""/>
    <s v=""/>
    <s v=""/>
  </r>
  <r>
    <x v="3"/>
    <n v="3"/>
    <s v="A comunicação entre equipes e setores contribui para a clareza das suas tarefas?"/>
    <s v="Invertida"/>
    <s v=""/>
    <s v=""/>
    <s v=""/>
    <s v=""/>
  </r>
  <r>
    <x v="3"/>
    <n v="4"/>
    <s v="Você se sente confortável para pedir esclarecimentos quando não entende suas funções ou prioridades?"/>
    <s v="Invertida"/>
    <s v=""/>
    <s v=""/>
    <s v=""/>
    <s v=""/>
  </r>
  <r>
    <x v="4"/>
    <n v="1"/>
    <s v="Você sente que seu esforço e desempenho são reconhecidos pela liderança?"/>
    <s v="Invertida"/>
    <s v=""/>
    <s v=""/>
    <s v=""/>
    <s v=""/>
  </r>
  <r>
    <x v="4"/>
    <n v="2"/>
    <s v="Você recebe feedback construtivo sobre o seu trabalho com regularidade?"/>
    <s v="Invertida"/>
    <s v=""/>
    <s v=""/>
    <s v=""/>
    <s v=""/>
  </r>
  <r>
    <x v="4"/>
    <n v="3"/>
    <s v="Você já se sentiu desmotivado(a) por falta de reconhecimento no trabalho?"/>
    <s v="Direta"/>
    <s v=""/>
    <s v=""/>
    <s v=""/>
    <s v=""/>
  </r>
  <r>
    <x v="5"/>
    <n v="1"/>
    <s v="Você tem liberdade para tomar decisões sobre como executar suas tarefas diárias?"/>
    <s v="Invertida"/>
    <s v=""/>
    <s v=""/>
    <s v=""/>
    <s v=""/>
  </r>
  <r>
    <x v="5"/>
    <n v="2"/>
    <s v="A empresa confia na sua capacidade de organizar e gerenciar o próprio trabalho?"/>
    <s v="Invertida"/>
    <s v=""/>
    <s v=""/>
    <s v=""/>
    <s v=""/>
  </r>
  <r>
    <x v="5"/>
    <n v="3"/>
    <s v="O excesso de controle ou burocracia interfere no seu desempenho?"/>
    <s v="Direta"/>
    <s v=""/>
    <s v=""/>
    <s v=""/>
    <s v=""/>
  </r>
  <r>
    <x v="5"/>
    <n v="4"/>
    <s v="Existe excesso de supervisão que impacte negativamente sua produtividade ou bem-estar?"/>
    <s v="Direta"/>
    <s v=""/>
    <s v=""/>
    <s v=""/>
    <s v=""/>
  </r>
  <r>
    <x v="6"/>
    <n v="1"/>
    <s v="Você acha justas e claras as formas que a empresa usa para avaliar o seu trabalho?"/>
    <s v="Invertida"/>
    <s v=""/>
    <s v=""/>
    <s v=""/>
    <s v=""/>
  </r>
  <r>
    <x v="6"/>
    <n v="2"/>
    <s v="Você sente que há igualdade no reconhecimento entre diferentes áreas ou equipes?"/>
    <s v="Invertida"/>
    <s v=""/>
    <s v=""/>
    <s v=""/>
    <s v=""/>
  </r>
  <r>
    <x v="6"/>
    <n v="3"/>
    <s v="Você sente que há transparência nas decisões de desligamento na empresa?"/>
    <s v="Invertida"/>
    <s v=""/>
    <s v=""/>
    <s v=""/>
    <s v=""/>
  </r>
  <r>
    <x v="6"/>
    <n v="4"/>
    <s v="Você já presenciou casos de demissões injustas?"/>
    <s v="Direta"/>
    <s v=""/>
    <s v=""/>
    <s v=""/>
    <s v=""/>
  </r>
  <r>
    <x v="7"/>
    <n v="1"/>
    <s v="Você já vivenciou ou presenciou alguma situação de violência grave no trabalho (como agressão física, ameaça séria ou ataque verbal intenso)?"/>
    <s v="Direta"/>
    <s v=""/>
    <s v=""/>
    <s v=""/>
    <s v=""/>
  </r>
  <r>
    <x v="7"/>
    <n v="2"/>
    <s v="Você já passou por algum evento grave no trabalho (como acidente sério, situação de risco extremo ou episódio muito impactante)?"/>
    <s v="Direta"/>
    <s v=""/>
    <s v=""/>
    <s v=""/>
    <s v=""/>
  </r>
  <r>
    <x v="7"/>
    <n v="3"/>
    <s v="Alguma situação vivida no trabalho já foi tão marcante que deixou medo, choque ou forte abalo emocional?"/>
    <s v="Direta"/>
    <s v=""/>
    <s v=""/>
    <s v=""/>
    <s v=""/>
  </r>
  <r>
    <x v="8"/>
    <n v="1"/>
    <s v="Você sente que, na maior parte do tempo, tem pouco trabalho a realizar durante sua jornada?"/>
    <s v="Direta"/>
    <s v=""/>
    <s v=""/>
    <s v=""/>
    <s v=""/>
  </r>
  <r>
    <x v="8"/>
    <n v="2"/>
    <s v="Você costuma ficar com tempo ocioso no trabalho por falta de tarefas ou demandas claras?"/>
    <s v="Direta"/>
    <s v=""/>
    <s v=""/>
    <s v=""/>
    <s v=""/>
  </r>
  <r>
    <x v="8"/>
    <n v="3"/>
    <s v="Você sente que suas habilidades ou conhecimentos são pouco utilizados no seu trabalho?"/>
    <s v="Direta"/>
    <s v=""/>
    <s v=""/>
    <s v=""/>
    <s v=""/>
  </r>
  <r>
    <x v="8"/>
    <n v="4"/>
    <s v="Seu trabalho costuma ser pouco desafiador ou repetitivo a ponto de gerar desânimo?"/>
    <s v="Direta"/>
    <s v=""/>
    <s v=""/>
    <s v=""/>
    <s v=""/>
  </r>
  <r>
    <x v="9"/>
    <n v="1"/>
    <s v="Você sente que sua carga de trabalho diária é maior do que consegue realizar dentro do horário normal?"/>
    <s v="Direta"/>
    <s v=""/>
    <s v=""/>
    <s v=""/>
    <s v=""/>
  </r>
  <r>
    <x v="9"/>
    <n v="2"/>
    <s v="Você frequentemente precisa fazer horas extras ou levar trabalho para casa?"/>
    <s v="Direta"/>
    <s v=""/>
    <s v=""/>
    <s v=""/>
    <s v=""/>
  </r>
  <r>
    <x v="9"/>
    <n v="3"/>
    <s v="Você já teve sintomas físicos ou emocionais (como exaustão, ansiedade ou insônia) devido ao excesso de trabalho?"/>
    <s v="Direta"/>
    <s v=""/>
    <s v=""/>
    <s v=""/>
    <s v=""/>
  </r>
  <r>
    <x v="9"/>
    <n v="4"/>
    <s v="A equipe é dimensionada corretamente para a demanda de trabalho existente?"/>
    <s v="Invertida"/>
    <s v=""/>
    <s v=""/>
    <s v=""/>
    <s v=""/>
  </r>
  <r>
    <x v="10"/>
    <n v="1"/>
    <s v="Você já evitou colegas ou superiores por causa de desentendimentos frequentes?"/>
    <s v="Direta"/>
    <s v=""/>
    <s v=""/>
    <s v=""/>
    <s v=""/>
  </r>
  <r>
    <x v="10"/>
    <n v="2"/>
    <s v="Você percebe rivalidade excessiva ou desnecessária entre colegas ou setores?"/>
    <s v="Direta"/>
    <s v=""/>
    <s v=""/>
    <s v=""/>
    <s v=""/>
  </r>
  <r>
    <x v="10"/>
    <n v="3"/>
    <s v="Conflitos no trabalho costumam ser resolvidos de forma justa?"/>
    <s v="Invertida"/>
    <s v=""/>
    <s v=""/>
    <s v=""/>
    <s v=""/>
  </r>
  <r>
    <x v="11"/>
    <n v="4"/>
    <s v="Você trabalha em condições (como turnos diferentes, trabalho externo ou distância física) que dificultam a comunicação no trabalho?"/>
    <s v="Direta"/>
    <s v=""/>
    <s v=""/>
    <s v=""/>
    <s v=""/>
  </r>
  <r>
    <x v="11"/>
    <n v="5"/>
    <s v="A distância física entre você e sua equipe ou liderança dificulta a troca de informações?"/>
    <s v="Direta"/>
    <s v=""/>
    <s v=""/>
    <s v=""/>
    <s v=""/>
  </r>
  <r>
    <x v="11"/>
    <n v="6"/>
    <s v="Você já teve dificuldade para receber informações importantes no momento certo por causa da organização do trabalho?"/>
    <s v="Direta"/>
    <s v=""/>
    <s v=""/>
    <s v=""/>
    <s v=""/>
  </r>
  <r>
    <x v="11"/>
    <n v="7"/>
    <s v="Você tem acesso fácil aos meios necessários para se comunicar com colegas e liderança durante o trabalho?"/>
    <s v="Invertida"/>
    <s v=""/>
    <s v=""/>
    <s v=""/>
    <s v=""/>
  </r>
  <r>
    <x v="12"/>
    <n v="1"/>
    <s v="Você trabalha grande parte do tempo de forma remota ou sozinho(a), com pouco contato presencial com colegas ou liderança?"/>
    <s v="Direta"/>
    <s v=""/>
    <s v=""/>
    <s v=""/>
    <s v=""/>
  </r>
  <r>
    <x v="12"/>
    <n v="2"/>
    <s v="Você sente que o trabalho remoto ou isolado faz com que se sinta distante da equipe ou da empresa?"/>
    <s v="Direta"/>
    <s v=""/>
    <s v=""/>
    <s v=""/>
    <s v=""/>
  </r>
  <r>
    <x v="12"/>
    <n v="3"/>
    <s v="Se Você trabalha de forma remota ou isolada, você sente que recebe apoio e acompanhamento adequados da empresa?"/>
    <s v="Invertida"/>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A830E-3AB7-4718-8FBF-F3C32BDF4C99}" name="Tabela dinâ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8" firstHeaderRow="1" firstDataRow="1" firstDataCol="1"/>
  <pivotFields count="8">
    <pivotField axis="axisRow" showAll="0">
      <items count="24">
        <item m="1" x="14"/>
        <item m="1" x="15"/>
        <item m="1" x="16"/>
        <item m="1" x="17"/>
        <item m="1" x="18"/>
        <item m="1" x="19"/>
        <item m="1" x="20"/>
        <item m="1" x="21"/>
        <item m="1" x="22"/>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s>
  <rowFields count="1">
    <field x="0"/>
  </rowFields>
  <rowItems count="15">
    <i>
      <x v="9"/>
    </i>
    <i>
      <x v="10"/>
    </i>
    <i>
      <x v="11"/>
    </i>
    <i>
      <x v="12"/>
    </i>
    <i>
      <x v="13"/>
    </i>
    <i>
      <x v="14"/>
    </i>
    <i>
      <x v="15"/>
    </i>
    <i>
      <x v="16"/>
    </i>
    <i>
      <x v="17"/>
    </i>
    <i>
      <x v="18"/>
    </i>
    <i>
      <x v="19"/>
    </i>
    <i>
      <x v="20"/>
    </i>
    <i>
      <x v="21"/>
    </i>
    <i>
      <x v="22"/>
    </i>
    <i t="grand">
      <x/>
    </i>
  </rowItems>
  <colItems count="1">
    <i/>
  </colItems>
  <dataFields count="1">
    <dataField name="Média de GravidadeNum" fld="7"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Qual_o_seu_Setor?" xr10:uid="{8B7F8894-C21F-4618-A9AE-99ECF4F47D9D}" sourceName="Qual o seu Setor? ">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3" xr10:uid="{FBF3FA9C-F07C-496F-B72C-586F938E0A68}" cache="SegmentaçãodeDados_Qual_o_seu_Setor?" caption="Setor" style="SlicerStyleDark3"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xr10:uid="{BC2225CB-417E-4189-8954-833AF3C26B0D}" cache="SegmentaçãodeDados_Qual_o_seu_Setor?" caption="Setor" columnCount="5" style="SlicerStyleDark3"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1" xr10:uid="{FD9EF100-69A5-40F1-9ED1-A9FAB2C5C518}" cache="SegmentaçãodeDados_Qual_o_seu_Setor?" caption="Setor" columnCount="5" style="SlicerStyleDark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2" displayName="Tabela_2" ref="A4:CO215" headerRowDxfId="128" dataDxfId="127">
  <autoFilter ref="A4:CO215" xr:uid="{00000000-000C-0000-FFFF-FFFF00000000}"/>
  <tableColumns count="93">
    <tableColumn id="1" xr3:uid="{00000000-0010-0000-0000-000001000000}" name="Carimbo de data/hora" dataDxfId="126"/>
    <tableColumn id="2" xr3:uid="{00000000-0010-0000-0000-000002000000}" name="Qual o seu cargo/ Função? " dataDxfId="125"/>
    <tableColumn id="3" xr3:uid="{00000000-0010-0000-0000-000003000000}" name="Qual o seu Setor? " dataDxfId="124"/>
    <tableColumn id="6" xr3:uid="{00000000-0010-0000-0000-000006000000}" name="01 - Você já presenciou ou sofreu comentários ofensivos, piadas ou insinuações inadequadas no ambiente de trabalho?_x000a_(- Responda pensando se já presenciou ou sofreu esse tipo de situação no trabalho.)" dataDxfId="123"/>
    <tableColumn id="7" xr3:uid="{00000000-0010-0000-0000-000007000000}" name="02 - Você se sente à vontade para relatar situações de assédio moral ou sexual na empresa sem medo de represálias?_x000a_(-Responda se você se sente seguro(a) para relatar situações de assédio na empresa.)" dataDxfId="122"/>
    <tableColumn id="8" xr3:uid="{00000000-0010-0000-0000-000008000000}" name="03 - Existe um canal seguro e sigiloso para denunciar assédio na empresa?_x000a_(-Responda se a empresa oferece um meio seguro para denunciar assédio e outras situações)" dataDxfId="121"/>
    <tableColumn id="9" xr3:uid="{00000000-0010-0000-0000-000009000000}" name="04 - Há casos conhecidos de assédio moral ou sexual que não foram devidamente investigados ou punidos?_x000a_(- Responda se você percebe que situações de assédio não são tratadas corretamente.)" dataDxfId="120"/>
    <tableColumn id="10" xr3:uid="{00000000-0010-0000-0000-00000A000000}" name="05 - O RH e os gestores demonstram comprometimento real com a prevenção do assédio?_x000a_(- Responda se você percebe que situações de assédio não são tratadas corretamente.)" dataDxfId="119"/>
    <tableColumn id="11" xr3:uid="{00000000-0010-0000-0000-00000B000000}" name="06 - Você sente que pode contar com seus colegas em momentos de dificuldade?_x000a_(-Responda se você sente que pode contar com seus colegas quando precisa.)" dataDxfId="118"/>
    <tableColumn id="12" xr3:uid="{00000000-0010-0000-0000-00000C000000}" name="07 - Existe apoio da liderança para lidar com desafios relacionados ao trabalho?_x000a_(Responda se seus gestores ajudam quando surgem dificuldades no trabalho.)" dataDxfId="117"/>
    <tableColumn id="13" xr3:uid="{00000000-0010-0000-0000-00000D000000}" name="08 - O RH está presente e atuante quando surgem conflitos ou dificuldades no trabalho?_x000a_(Responda se o RH costuma apoiar quando há conflitos ou problemas.)" dataDxfId="116"/>
    <tableColumn id="14" xr3:uid="{00000000-0010-0000-0000-00000E000000}" name="09 - Os gestores promovem um ambiente saudável e respeitoso?_x000a_(Responda como você avalia o comportamento dos gestores no dia a dia.)" dataDxfId="115"/>
    <tableColumn id="15" xr3:uid="{00000000-0010-0000-0000-00000F000000}" name="10 - Você sente que pode expressar suas dificuldades no trabalho sem ser julgado(a)?_x000a_(Responda se você se sente à vontade para falar sobre dificuldades no trabalho.)" dataDxfId="114"/>
    <tableColumn id="16" xr3:uid="{00000000-0010-0000-0000-000010000000}" name="11 - Mudanças organizacionais impactaram negativamente seu sentimento de segurança no trabalho? _x000a_(Responda se mudanças na empresa afetaram sua sensação de segurança no trabalho.)" dataDxfId="113"/>
    <tableColumn id="17" xr3:uid="{00000000-0010-0000-0000-000011000000}" name="12 - Há comunicação clara sobre mudanças que afetam a empresa ou os trabalhadores?_x000a_(Responda se a empresa costuma explicar bem as mudanças que acontecem.)" dataDxfId="112"/>
    <tableColumn id="18" xr3:uid="{00000000-0010-0000-0000-000012000000}" name="13 - Você já sentiu que seu emprego estava ameaçado sem explicações claras durante períodos de mudança?_x000a_(Responda se já sentiu insegurança sobre seu emprego durante mudanças.)" dataDxfId="111"/>
    <tableColumn id="19" xr3:uid="{00000000-0010-0000-0000-000013000000}" name="14 - Existe transparência na comunicação da empresa durante processos de mudança?_x000a_(Responda se as mudanças são comunicadas de forma clara e aberta.)" dataDxfId="110"/>
    <tableColumn id="20" xr3:uid="{00000000-0010-0000-0000-000014000000}" name="15 - Você recebe instruções claras sobre suas responsabilidades no trabalho?_x000a_(Responda se você entende bem quais são suas responsabilidades.)" dataDxfId="109"/>
    <tableColumn id="21" xr3:uid="{00000000-0010-0000-0000-000015000000}" name="16 - A comunicação da empresa ajuda você a entender o que é esperado do seu trabalho?_x000a_(Responda se a empresa deixa claro o que espera do seu trabalho.)" dataDxfId="108"/>
    <tableColumn id="22" xr3:uid="{00000000-0010-0000-0000-000016000000}" name="17 - A comunicação entre equipes e setores contribui para a clareza das suas tarefas?_x000a_(Responda se a comunicação entre áreas ajuda no seu trabalho.)" dataDxfId="107"/>
    <tableColumn id="23" xr3:uid="{00000000-0010-0000-0000-000017000000}" name="18 - Você se sente confortável para pedir esclarecimentos quando não entende suas funções ou prioridades?_x000a_(Responda se você se sente à vontade para perguntar quando não entende algo.)" dataDxfId="106"/>
    <tableColumn id="24" xr3:uid="{00000000-0010-0000-0000-000018000000}" name="19 - Você sente que seu esforço e desempenho são reconhecidos pela liderança?_x000a_(Responda se você se sente valorizado(a) pelo trabalho que realiza.)" dataDxfId="105"/>
    <tableColumn id="25" xr3:uid="{00000000-0010-0000-0000-000019000000}" name="20 - Você recebe feedback construtivo sobre o seu trabalho com regularidade?_x000a_(Responda se você recebe orientações ou retornos sobre seu trabalho.)" dataDxfId="104"/>
    <tableColumn id="26" xr3:uid="{00000000-0010-0000-0000-00001A000000}" name="21 - Com que Frequência Você já se sentiu desmotivado(a) por falta de reconhecimento no trabalho?_x000a_(Responda se a falta de reconhecimento já te deixou desmotivado(a)." dataDxfId="103"/>
    <tableColumn id="27" xr3:uid="{00000000-0010-0000-0000-00001B000000}" name="22 - Você tem liberdade para tomar decisões sobre como executar suas tarefas diárias?_x000a_(Responda se você pode sugerir melhorias ou decidir como fazer suas tarefas.)" dataDxfId="102"/>
    <tableColumn id="28" xr3:uid="{00000000-0010-0000-0000-00001C000000}" name="23 - A empresa confia na sua capacidade de organizar e gerenciar o próprio trabalho?_x000a_(Responda se sente que a empresa confia na forma como você organiza seu trabalho.)" dataDxfId="101"/>
    <tableColumn id="29" xr3:uid="{00000000-0010-0000-0000-00001D000000}" name="24 - Existe excesso de controle ou burocracia que interfere no seu desempenho?_x000a_(Responda se regras ou controles atrapalham seu desempenho.)" dataDxfId="100"/>
    <tableColumn id="30" xr3:uid="{00000000-0010-0000-0000-00001E000000}" name="25 - Existe excesso de supervisão que impacta negativamente na sua produtividade ou bem-estar?" dataDxfId="99"/>
    <tableColumn id="31" xr3:uid="{00000000-0010-0000-0000-00001F000000}" name="26 - Você acha justas e claras as formas que a empresa usa para avaliar o seu trabalho?_x000a_(Responda se as formas de avaliar seu trabalho são claras e justas.)" dataDxfId="98"/>
    <tableColumn id="32" xr3:uid="{00000000-0010-0000-0000-000020000000}" name="27 - Você sente que há igualdade no reconhecimento entre diferentes áreas ou equipes?_x000a_(Responda se você percebe tratamento justo entre equipes ou setores.)" dataDxfId="97"/>
    <tableColumn id="33" xr3:uid="{00000000-0010-0000-0000-000021000000}" name="28 - Você sente que há transparência nas decisões de desligamento na empresa?_x000a_(Responda se a empresa é clara quando ocorrem desligamentos.)" dataDxfId="96"/>
    <tableColumn id="34" xr3:uid="{00000000-0010-0000-0000-000022000000}" name="29 - Você já presenciou casos de demissões que considerasse injustas?_x000a_(Responda se já presenciou demissões que considerou injustas.)" dataDxfId="95"/>
    <tableColumn id="35" xr3:uid="{00000000-0010-0000-0000-000023000000}" name="30 - Você já vivenciou ou presenciou alguma situação de violência grave no trabalho (como agressão física, ameaça séria ou ataque verbal intenso)?" dataDxfId="94"/>
    <tableColumn id="36" xr3:uid="{00000000-0010-0000-0000-000024000000}" name="31 - Você já passou por algum evento grave no trabalho (como acidente sério, situação de risco extremo ou episódio muito impactante)?_x000a_Responda se já passou por situações muito graves ou perigosas no trabalho." dataDxfId="93"/>
    <tableColumn id="37" xr3:uid="{00000000-0010-0000-0000-000025000000}" name="32 - Alguma situação vivida no trabalho já foi tão marcante que deixou medo, choque ou forte abalo emocional?_x000a_(Responda se alguma situação no trabalho já te causou forte abalo emocional.)" dataDxfId="92"/>
    <tableColumn id="38" xr3:uid="{00000000-0010-0000-0000-000026000000}" name="33 - Você sente que, na maior parte do tempo, tem pouco trabalho a realizar durante sua jornada?_x000a_(Responda se costuma ter pouco trabalho durante sua jornada.)" dataDxfId="91"/>
    <tableColumn id="39" xr3:uid="{00000000-0010-0000-0000-000027000000}" name="34 - Você costuma ficar com tempo ocioso no trabalho por falta de tarefas ou demandas claras?_x000a_(Responda se frequentemente fica sem tarefas para realizar.)" dataDxfId="90"/>
    <tableColumn id="40" xr3:uid="{00000000-0010-0000-0000-000028000000}" name="35 - Você sente que suas habilidades ou conhecimentos são pouco utilizados no seu trabalho?_x000a_(Responda se sente que suas habilidades são pouco aproveitadas.)" dataDxfId="89"/>
    <tableColumn id="41" xr3:uid="{00000000-0010-0000-0000-000029000000}" name="36 - Seu trabalho costuma ser pouco desafiador ou repetitivo a ponto de gerar desânimo?_x000a_(Responda se o trabalho é repetitivo ou desmotivador.)" dataDxfId="88"/>
    <tableColumn id="42" xr3:uid="{00000000-0010-0000-0000-00002A000000}" name="37 - Você sente que sua carga de trabalho diária é maior do que consegue realizar dentro do horário normal? _x000a_(Responda se a quantidade de trabalho é maior do que consegue realizar.)" dataDxfId="87"/>
    <tableColumn id="43" xr3:uid="{00000000-0010-0000-0000-00002B000000}" name="38 - Você frequentemente precisa fazer horas extras ou levar trabalho para casa?_x000a_(Responda se costuma trabalhar além do horário normal.)" dataDxfId="86"/>
    <tableColumn id="44" xr3:uid="{00000000-0010-0000-0000-00002C000000}" name="39 - Você já teve sintomas físicos ou emocionais (como exaustão, ansiedade ou insônia) devido ao excesso de trabalho?_x000a_(Responda se o excesso de trabalho já afetou sua saúde)" dataDxfId="85"/>
    <tableColumn id="45" xr3:uid="{00000000-0010-0000-0000-00002D000000}" name="40 - A equipe é dimensionada/dividida corretamente para a demanda/quantidade de trabalho existente?_x000a_(Responda se a quantidade de pessoas é suficiente para a demanda.)" dataDxfId="84"/>
    <tableColumn id="46" xr3:uid="{00000000-0010-0000-0000-00002E000000}" name="41 - Você já evitou colegas ou superiores por causa de desentendimentos frequentes?_x000a_(Responda se já evitou colegas ou superiores por conflitos.)" dataDxfId="83"/>
    <tableColumn id="47" xr3:uid="{00000000-0010-0000-0000-00002F000000}" name="42 - Você percebe rivalidade excessiva ou desnecessária entre colegas ou setores?_x000a_(Responda se percebe disputas desnecessárias no trabalho.)" dataDxfId="82"/>
    <tableColumn id="48" xr3:uid="{00000000-0010-0000-0000-000030000000}" name="43 - Conflitos no trabalho costumam ser resolvidos de forma justa?_x000a_(Responda se os conflitos costumam ser resolvidos de forma justa.)" dataDxfId="81"/>
    <tableColumn id="49" xr3:uid="{00000000-0010-0000-0000-000031000000}" name="44 - Você trabalha em condições (como turnos diferentes, trabalho externo ou distância física) que dificultam a comunicação no trabalho?_x000a_(Responda se seu trabalho dificulta a comunicação com colegas ou líderes.)" dataDxfId="80"/>
    <tableColumn id="50" xr3:uid="{00000000-0010-0000-0000-000032000000}" name="45 - A distância física entre você e sua equipe ou liderança dificulta a troca de informações? _x000a_(Responda se a distância atrapalha a troca de informações.)" dataDxfId="79"/>
    <tableColumn id="51" xr3:uid="{00000000-0010-0000-0000-000033000000}" name="46 - Você já teve dificuldade para receber informações importantes no momento certo por causa da organização do trabalho?_x000a_(Responda se já recebeu informações importantes com atraso.)" dataDxfId="78"/>
    <tableColumn id="52" xr3:uid="{00000000-0010-0000-0000-000034000000}" name="47 - Você tem acesso fácil aos meios necessários para se comunicar com colegas e liderança durante o trabalho?_x000a_(Responda se você tem meios adequados para se comunicar no trabalho.)" dataDxfId="77"/>
    <tableColumn id="53" xr3:uid="{00000000-0010-0000-0000-000035000000}" name="48 - Você trabalha grande parte do tempo de forma remota ou sozinho(a), com pouco contato presencial com colegas ou liderança?_x000a_(Responda se você trabalha a maior parte do tempo sozinho(a) ou à distância.)" dataDxfId="76"/>
    <tableColumn id="54" xr3:uid="{00000000-0010-0000-0000-000036000000}" name="49 - Você sente que o trabalho remoto ou isolado faz com que se sinta distante da equipe ou da empresa?_x000a_(Responda se isso faz você se sentir distante da equipe ou da empresa.)" dataDxfId="75"/>
    <tableColumn id="55" xr3:uid="{00000000-0010-0000-0000-000037000000}" name="50 - Mesmo trabalhando de forma remota ou isolada, você sente que recebe apoio e acompanhamento adequados da empresa?(Responda se, mesmo à distância, você recebe apoio da empresa.)" dataDxfId="74"/>
    <tableColumn id="56" xr3:uid="{00000000-0010-0000-0000-000038000000}" name="Coluna1" dataDxfId="73"/>
    <tableColumn id="57" xr3:uid="{00000000-0010-0000-0000-000039000000}" name="Coluna2" dataDxfId="72"/>
    <tableColumn id="58" xr3:uid="{00000000-0010-0000-0000-00003A000000}" name="Coluna3" dataDxfId="71"/>
    <tableColumn id="59" xr3:uid="{00000000-0010-0000-0000-00003B000000}" name="Coluna4" dataDxfId="70"/>
    <tableColumn id="60" xr3:uid="{00000000-0010-0000-0000-00003C000000}" name="Coluna5" dataDxfId="69"/>
    <tableColumn id="61" xr3:uid="{00000000-0010-0000-0000-00003D000000}" name="Coluna6" dataDxfId="68"/>
    <tableColumn id="62" xr3:uid="{00000000-0010-0000-0000-00003E000000}" name="Coluna7" dataDxfId="67"/>
    <tableColumn id="63" xr3:uid="{00000000-0010-0000-0000-00003F000000}" name="Coluna8" dataDxfId="66"/>
    <tableColumn id="64" xr3:uid="{00000000-0010-0000-0000-000040000000}" name="Coluna9" dataDxfId="65"/>
    <tableColumn id="65" xr3:uid="{00000000-0010-0000-0000-000041000000}" name="Coluna10" dataDxfId="64"/>
    <tableColumn id="66" xr3:uid="{00000000-0010-0000-0000-000042000000}" name="Coluna11" dataDxfId="63"/>
    <tableColumn id="67" xr3:uid="{00000000-0010-0000-0000-000043000000}" name="Coluna12" dataDxfId="62"/>
    <tableColumn id="68" xr3:uid="{00000000-0010-0000-0000-000044000000}" name="Coluna13" dataDxfId="61"/>
    <tableColumn id="69" xr3:uid="{00000000-0010-0000-0000-000045000000}" name="Coluna14" dataDxfId="60"/>
    <tableColumn id="70" xr3:uid="{00000000-0010-0000-0000-000046000000}" name="Coluna15" dataDxfId="59"/>
    <tableColumn id="71" xr3:uid="{00000000-0010-0000-0000-000047000000}" name="Coluna16" dataDxfId="58"/>
    <tableColumn id="72" xr3:uid="{00000000-0010-0000-0000-000048000000}" name="Coluna17" dataDxfId="57"/>
    <tableColumn id="73" xr3:uid="{00000000-0010-0000-0000-000049000000}" name="Coluna18" dataDxfId="56"/>
    <tableColumn id="74" xr3:uid="{00000000-0010-0000-0000-00004A000000}" name="Coluna19" dataDxfId="55"/>
    <tableColumn id="75" xr3:uid="{00000000-0010-0000-0000-00004B000000}" name="Coluna20" dataDxfId="54"/>
    <tableColumn id="76" xr3:uid="{00000000-0010-0000-0000-00004C000000}" name="Coluna21" dataDxfId="53"/>
    <tableColumn id="77" xr3:uid="{00000000-0010-0000-0000-00004D000000}" name="Coluna22" dataDxfId="52"/>
    <tableColumn id="78" xr3:uid="{00000000-0010-0000-0000-00004E000000}" name="Coluna23" dataDxfId="51"/>
    <tableColumn id="79" xr3:uid="{00000000-0010-0000-0000-00004F000000}" name="Coluna24" dataDxfId="50"/>
    <tableColumn id="80" xr3:uid="{00000000-0010-0000-0000-000050000000}" name="Coluna25" dataDxfId="49"/>
    <tableColumn id="81" xr3:uid="{00000000-0010-0000-0000-000051000000}" name="Coluna26" dataDxfId="48"/>
    <tableColumn id="82" xr3:uid="{00000000-0010-0000-0000-000052000000}" name="Coluna27" dataDxfId="47"/>
    <tableColumn id="83" xr3:uid="{00000000-0010-0000-0000-000053000000}" name="Coluna28" dataDxfId="46"/>
    <tableColumn id="84" xr3:uid="{00000000-0010-0000-0000-000054000000}" name="Coluna29" dataDxfId="45"/>
    <tableColumn id="85" xr3:uid="{00000000-0010-0000-0000-000055000000}" name="Coluna30" dataDxfId="44"/>
    <tableColumn id="86" xr3:uid="{00000000-0010-0000-0000-000056000000}" name="Coluna31" dataDxfId="43"/>
    <tableColumn id="87" xr3:uid="{00000000-0010-0000-0000-000057000000}" name="Coluna32" dataDxfId="42"/>
    <tableColumn id="88" xr3:uid="{00000000-0010-0000-0000-000058000000}" name="Coluna33" dataDxfId="41"/>
    <tableColumn id="89" xr3:uid="{00000000-0010-0000-0000-000059000000}" name="Coluna34" dataDxfId="40"/>
    <tableColumn id="90" xr3:uid="{00000000-0010-0000-0000-00005A000000}" name="Coluna35" dataDxfId="39"/>
    <tableColumn id="91" xr3:uid="{00000000-0010-0000-0000-00005B000000}" name="Coluna36" dataDxfId="38"/>
    <tableColumn id="92" xr3:uid="{00000000-0010-0000-0000-00005C000000}" name="Coluna37" dataDxfId="37"/>
    <tableColumn id="93" xr3:uid="{00000000-0010-0000-0000-00005D000000}" name="Coluna38" dataDxfId="36"/>
    <tableColumn id="94" xr3:uid="{00000000-0010-0000-0000-00005E000000}" name="Coluna39" dataDxfId="35"/>
    <tableColumn id="95" xr3:uid="{00000000-0010-0000-0000-00005F000000}" name="Coluna40" dataDxfId="34"/>
  </tableColumns>
  <tableStyleInfo name="Escala-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_1" displayName="Tabela_1" ref="A7:H97" headerRowDxfId="33" dataDxfId="32" totalsRowDxfId="31">
  <tableColumns count="8">
    <tableColumn id="1" xr3:uid="{00000000-0010-0000-0100-000001000000}" name="Tópico" dataDxfId="30"/>
    <tableColumn id="2" xr3:uid="{00000000-0010-0000-0100-000002000000}" name="Nº" dataDxfId="29"/>
    <tableColumn id="3" xr3:uid="{00000000-0010-0000-0100-000003000000}" name="Pergunta" dataDxfId="28"/>
    <tableColumn id="4" xr3:uid="{00000000-0010-0000-0100-000004000000}" name="Lógica" dataDxfId="27"/>
    <tableColumn id="5" xr3:uid="{00000000-0010-0000-0100-000005000000}" name="MÉDIA" dataDxfId="26">
      <calculatedColumnFormula>IFERROR(ROUNDUP('Dados do Forms'!D1,0),"")</calculatedColumnFormula>
    </tableColumn>
    <tableColumn id="6" xr3:uid="{00000000-0010-0000-0100-000006000000}" name="Pontuação Corrigida" dataDxfId="25"/>
    <tableColumn id="7" xr3:uid="{00000000-0010-0000-0100-000007000000}" name="Gravidade" dataDxfId="24"/>
    <tableColumn id="9" xr3:uid="{00000000-0010-0000-0100-000009000000}" name="GravidadeNum" dataDxfId="23"/>
  </tableColumns>
  <tableStyleInfo name="Escal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_3" displayName="Tabela_3" ref="A7:E20">
  <tableColumns count="5">
    <tableColumn id="1" xr3:uid="{00000000-0010-0000-0200-000001000000}" name="Tópico" dataDxfId="22"/>
    <tableColumn id="2" xr3:uid="{00000000-0010-0000-0200-000002000000}" name="Média Gravidade" dataDxfId="21">
      <calculatedColumnFormula>AVERAGEIF(Escala!A:A, A8, Escala!H:H)</calculatedColumnFormula>
    </tableColumn>
    <tableColumn id="3" xr3:uid="{00000000-0010-0000-0200-000003000000}" name="Média Probabilidade" dataDxfId="20"/>
    <tableColumn id="4" xr3:uid="{00000000-0010-0000-0200-000004000000}" name="Classificação Gravidade" dataDxfId="19">
      <calculatedColumnFormula>IF(B8="", "", IFERROR(IF(B8&lt;=1.66, "Baixa", IF(B8&lt;=2.32, "Média", "Alta")), ""))</calculatedColumnFormula>
    </tableColumn>
    <tableColumn id="5" xr3:uid="{00000000-0010-0000-0200-000005000000}" name="Classificação Probabilidade" dataDxfId="18">
      <calculatedColumnFormula>IF(C8="","",IFERROR(IF(C8&lt;=1.5,"Baixa",IF(C8&lt;=2.4,"Média","Alta")),""))</calculatedColumnFormula>
    </tableColumn>
  </tableColumns>
  <tableStyleInfo name="Escal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DE4B37-88BC-448F-A4A9-3B0C9C44A6F7}" name="Tabela6" displayName="Tabela6" ref="C13:G26" totalsRowShown="0" headerRowDxfId="17" tableBorderDxfId="16">
  <autoFilter ref="C13:G26" xr:uid="{55DE4B37-88BC-448F-A4A9-3B0C9C44A6F7}">
    <filterColumn colId="0" hiddenButton="1"/>
    <filterColumn colId="1" hiddenButton="1"/>
    <filterColumn colId="2" hiddenButton="1"/>
    <filterColumn colId="3" hiddenButton="1"/>
    <filterColumn colId="4" hiddenButton="1"/>
  </autoFilter>
  <tableColumns count="5">
    <tableColumn id="1" xr3:uid="{40B43C1B-862B-4CD0-AF9D-372A25AE70DF}" name="Fatores de Risco" dataDxfId="15"/>
    <tableColumn id="2" xr3:uid="{C4D937BA-57E3-4B99-B8E3-9520E93B900B}" name="Fontes Geradoras do Risco" dataDxfId="14"/>
    <tableColumn id="3" xr3:uid="{FF693DCD-FB49-40BA-A3DD-098AF347B20F}" name="Gravidade  (Severidade) " dataDxfId="13"/>
    <tableColumn id="5" xr3:uid="{E5337810-4B10-450B-8FC0-BEB5B5F152B7}" name="Probabilidade de Ocorrência " dataDxfId="12">
      <calculatedColumnFormula>'Resumo por Tópico'!E8</calculatedColumnFormula>
    </tableColumn>
    <tableColumn id="6" xr3:uid="{5249685E-72B7-4672-ACF5-347DFE7AA3CF}" name="Matriz Risco " dataDxfId="11">
      <calculatedColumnFormula>IFERROR(INDEX($K$8:$M$10, MATCH(E14, $J$8:$J$10, 0), MATCH(F14, $K$7:$M$7, 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2E104C-518F-4797-BAF4-256B14965EA1}" name="Tabela4" displayName="Tabela4" ref="D1:F14" totalsRowShown="0" headerRowDxfId="10" headerRowBorderDxfId="9" tableBorderDxfId="8">
  <autoFilter ref="D1:F14" xr:uid="{382E104C-518F-4797-BAF4-256B14965EA1}"/>
  <tableColumns count="3">
    <tableColumn id="1" xr3:uid="{8DAD6BE6-E0A6-4AF8-8D90-AA78C8BBAFBD}" name="Tópico" dataDxfId="7"/>
    <tableColumn id="2" xr3:uid="{2ED1A12B-C0E1-404C-BF1A-DEDD2061B1BE}" name="Média Gravidade">
      <calculatedColumnFormula>'Resumo por Tópico'!B8</calculatedColumnFormula>
    </tableColumn>
    <tableColumn id="3" xr3:uid="{F4D6A9DF-034C-46CB-922A-EFDAE4FC5155}" name="Classificação Gravidade">
      <calculatedColumnFormula>IF(E2="", "", IFERROR(IF(E2&lt;=1.5, "Baixa", IF(E2&lt;=2.4, "Média", "Alta")), ""))</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5-04-09T13:34:12.30" personId="{7F16B893-EAD3-F241-9207-EA9E69A2273D}" id="{5A76AA89-24B4-AC4E-A5CB-69CEE8A06D41}">
    <text xml:space="preserve">A classificação da Probabilidade deve ser feita por cada setor. Ou seja sempre que um setor for filtrado, é preciso inserir a probabilidade dele aqui para que os resultados não fiquem iguais. </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4538-5493-404B-8853-87C49F30E747}">
  <sheetPr>
    <tabColor rgb="FF356854"/>
  </sheetPr>
  <dimension ref="A1:Y27"/>
  <sheetViews>
    <sheetView showGridLines="0" tabSelected="1" zoomScale="84" zoomScaleNormal="84" workbookViewId="0">
      <selection activeCell="S8" sqref="S8"/>
    </sheetView>
  </sheetViews>
  <sheetFormatPr defaultColWidth="8.85546875" defaultRowHeight="15" x14ac:dyDescent="0.25"/>
  <cols>
    <col min="1" max="1" width="2.42578125" style="71" customWidth="1"/>
    <col min="2" max="14" width="8.85546875" style="71"/>
    <col min="15" max="15" width="9.42578125" style="71" customWidth="1"/>
    <col min="16" max="16" width="1" style="71" customWidth="1"/>
    <col min="17" max="17" width="80.7109375" style="71" customWidth="1"/>
    <col min="18" max="18" width="2.85546875" style="71" customWidth="1"/>
    <col min="19" max="16384" width="8.85546875" style="71"/>
  </cols>
  <sheetData>
    <row r="1" spans="1:25" x14ac:dyDescent="0.25">
      <c r="A1" s="110"/>
      <c r="B1" s="110"/>
      <c r="C1" s="110"/>
      <c r="D1" s="110"/>
      <c r="E1" s="110"/>
      <c r="F1" s="110"/>
      <c r="G1" s="110"/>
      <c r="H1" s="110"/>
      <c r="I1" s="110"/>
      <c r="J1" s="110"/>
      <c r="K1" s="110"/>
      <c r="L1" s="110"/>
      <c r="M1" s="110"/>
      <c r="N1" s="110"/>
      <c r="O1" s="110"/>
      <c r="P1" s="110"/>
      <c r="Q1" s="110"/>
      <c r="R1" s="110"/>
    </row>
    <row r="2" spans="1:25" ht="153.94999999999999" customHeight="1" x14ac:dyDescent="0.25">
      <c r="A2" s="110"/>
      <c r="B2" s="96"/>
      <c r="C2" s="96"/>
      <c r="D2" s="96"/>
      <c r="Q2" s="96"/>
      <c r="R2" s="110"/>
    </row>
    <row r="3" spans="1:25" ht="141.94999999999999" customHeight="1" x14ac:dyDescent="0.25">
      <c r="A3" s="110"/>
      <c r="B3" s="96"/>
      <c r="C3" s="96"/>
      <c r="D3" s="96"/>
      <c r="E3" s="96"/>
      <c r="F3" s="96"/>
      <c r="G3" s="96"/>
      <c r="H3" s="96"/>
      <c r="I3" s="96"/>
      <c r="J3" s="96"/>
      <c r="K3" s="96"/>
      <c r="L3" s="96"/>
      <c r="M3" s="96"/>
      <c r="N3" s="96"/>
      <c r="O3" s="96"/>
      <c r="P3" s="96"/>
      <c r="Q3" s="97"/>
      <c r="R3" s="110"/>
    </row>
    <row r="4" spans="1:25" ht="18.75" x14ac:dyDescent="0.3">
      <c r="A4" s="110"/>
      <c r="B4" s="96"/>
      <c r="C4" s="96"/>
      <c r="D4" s="96"/>
      <c r="E4" s="96"/>
      <c r="F4" s="96"/>
      <c r="G4" s="96"/>
      <c r="H4" s="96"/>
      <c r="I4" s="96"/>
      <c r="J4" s="96"/>
      <c r="K4" s="96"/>
      <c r="L4" s="96"/>
      <c r="M4" s="96"/>
      <c r="N4" s="96"/>
      <c r="O4" s="96"/>
      <c r="P4" s="96"/>
      <c r="Q4" s="98"/>
      <c r="R4" s="118"/>
      <c r="S4" s="52"/>
      <c r="T4" s="52"/>
      <c r="U4" s="52"/>
      <c r="V4" s="52"/>
      <c r="W4" s="52"/>
      <c r="X4" s="52"/>
      <c r="Y4" s="52"/>
    </row>
    <row r="5" spans="1:25" x14ac:dyDescent="0.25">
      <c r="A5" s="110"/>
      <c r="B5" s="96"/>
      <c r="C5" s="96"/>
      <c r="D5" s="96"/>
      <c r="E5" s="96"/>
      <c r="F5" s="96"/>
      <c r="G5" s="96"/>
      <c r="H5" s="96"/>
      <c r="I5" s="96"/>
      <c r="J5" s="96"/>
      <c r="K5" s="96"/>
      <c r="L5" s="96"/>
      <c r="M5" s="96"/>
      <c r="N5" s="96"/>
      <c r="O5" s="96"/>
      <c r="P5" s="96"/>
      <c r="Q5" s="96"/>
      <c r="R5" s="110"/>
    </row>
    <row r="6" spans="1:25" x14ac:dyDescent="0.25">
      <c r="A6" s="110"/>
      <c r="B6" s="96"/>
      <c r="C6" s="96"/>
      <c r="D6" s="96"/>
      <c r="E6" s="96"/>
      <c r="F6" s="96"/>
      <c r="G6" s="96"/>
      <c r="H6" s="96"/>
      <c r="I6" s="96"/>
      <c r="J6" s="96"/>
      <c r="K6" s="96"/>
      <c r="L6" s="96"/>
      <c r="M6" s="96"/>
      <c r="N6" s="96"/>
      <c r="O6" s="96"/>
      <c r="P6" s="96"/>
      <c r="Q6" s="96"/>
      <c r="R6" s="110"/>
    </row>
    <row r="7" spans="1:25" x14ac:dyDescent="0.25">
      <c r="A7" s="110"/>
      <c r="B7" s="96"/>
      <c r="C7" s="96"/>
      <c r="D7" s="96"/>
      <c r="E7" s="96"/>
      <c r="F7" s="96"/>
      <c r="G7" s="96"/>
      <c r="H7" s="96"/>
      <c r="I7" s="96"/>
      <c r="J7" s="96"/>
      <c r="K7" s="96"/>
      <c r="L7" s="96"/>
      <c r="M7" s="96"/>
      <c r="N7" s="96"/>
      <c r="O7" s="96"/>
      <c r="P7" s="96"/>
      <c r="Q7" s="96"/>
      <c r="R7" s="110"/>
    </row>
    <row r="8" spans="1:25" x14ac:dyDescent="0.25">
      <c r="A8" s="110"/>
      <c r="B8" s="96"/>
      <c r="C8" s="96"/>
      <c r="D8" s="96"/>
      <c r="E8" s="96"/>
      <c r="F8" s="96"/>
      <c r="G8" s="96"/>
      <c r="H8" s="96"/>
      <c r="I8" s="96"/>
      <c r="J8" s="96"/>
      <c r="K8" s="96"/>
      <c r="L8" s="96"/>
      <c r="M8" s="96"/>
      <c r="N8" s="96"/>
      <c r="O8" s="96"/>
      <c r="P8" s="96"/>
      <c r="Q8" s="96"/>
      <c r="R8" s="110"/>
    </row>
    <row r="9" spans="1:25" x14ac:dyDescent="0.25">
      <c r="A9" s="110"/>
      <c r="B9" s="96"/>
      <c r="C9" s="96"/>
      <c r="D9" s="96"/>
      <c r="E9" s="96"/>
      <c r="F9" s="96"/>
      <c r="G9" s="96"/>
      <c r="H9" s="96"/>
      <c r="I9" s="96"/>
      <c r="J9" s="96"/>
      <c r="K9" s="96"/>
      <c r="L9" s="96"/>
      <c r="M9" s="96"/>
      <c r="N9" s="96"/>
      <c r="O9" s="96"/>
      <c r="P9" s="96"/>
      <c r="Q9" s="96"/>
      <c r="R9" s="110"/>
    </row>
    <row r="10" spans="1:25" x14ac:dyDescent="0.25">
      <c r="A10" s="110"/>
      <c r="B10" s="96"/>
      <c r="C10" s="96"/>
      <c r="D10" s="96"/>
      <c r="E10" s="96"/>
      <c r="F10" s="96"/>
      <c r="G10" s="96"/>
      <c r="H10" s="96"/>
      <c r="I10" s="96"/>
      <c r="J10" s="96"/>
      <c r="K10" s="96"/>
      <c r="L10" s="96"/>
      <c r="M10" s="96"/>
      <c r="N10" s="96"/>
      <c r="O10" s="96"/>
      <c r="P10" s="96"/>
      <c r="Q10" s="96"/>
      <c r="R10" s="110"/>
    </row>
    <row r="11" spans="1:25" x14ac:dyDescent="0.25">
      <c r="A11" s="110"/>
      <c r="B11" s="96"/>
      <c r="C11" s="96"/>
      <c r="D11" s="96"/>
      <c r="E11" s="96"/>
      <c r="F11" s="96"/>
      <c r="G11" s="96"/>
      <c r="H11" s="96"/>
      <c r="I11" s="96"/>
      <c r="J11" s="96"/>
      <c r="K11" s="96"/>
      <c r="L11" s="96"/>
      <c r="M11" s="96"/>
      <c r="N11" s="96"/>
      <c r="O11" s="96"/>
      <c r="P11" s="96"/>
      <c r="Q11" s="96"/>
      <c r="R11" s="110"/>
    </row>
    <row r="12" spans="1:25" x14ac:dyDescent="0.25">
      <c r="A12" s="110"/>
      <c r="B12" s="96"/>
      <c r="C12" s="96"/>
      <c r="D12" s="96"/>
      <c r="E12" s="96"/>
      <c r="F12" s="96"/>
      <c r="G12" s="96"/>
      <c r="H12" s="96"/>
      <c r="I12" s="96"/>
      <c r="J12" s="96"/>
      <c r="K12" s="96"/>
      <c r="L12" s="96"/>
      <c r="M12" s="96"/>
      <c r="N12" s="96"/>
      <c r="O12" s="96"/>
      <c r="P12" s="96"/>
      <c r="Q12" s="96"/>
      <c r="R12" s="110"/>
    </row>
    <row r="13" spans="1:25" x14ac:dyDescent="0.25">
      <c r="A13" s="110"/>
      <c r="B13" s="96"/>
      <c r="C13" s="96"/>
      <c r="D13" s="96"/>
      <c r="E13" s="96"/>
      <c r="F13" s="96"/>
      <c r="G13" s="96"/>
      <c r="H13" s="96"/>
      <c r="I13" s="96"/>
      <c r="J13" s="96"/>
      <c r="K13" s="96"/>
      <c r="L13" s="96"/>
      <c r="M13" s="96"/>
      <c r="N13" s="96"/>
      <c r="O13" s="96"/>
      <c r="P13" s="96"/>
      <c r="Q13" s="96"/>
      <c r="R13" s="110"/>
    </row>
    <row r="14" spans="1:25" x14ac:dyDescent="0.25">
      <c r="A14" s="110"/>
      <c r="B14" s="96"/>
      <c r="C14" s="96"/>
      <c r="D14" s="96"/>
      <c r="E14" s="96"/>
      <c r="F14" s="96"/>
      <c r="G14" s="96"/>
      <c r="H14" s="96"/>
      <c r="I14" s="96"/>
      <c r="J14" s="96"/>
      <c r="K14" s="96"/>
      <c r="L14" s="96"/>
      <c r="M14" s="96"/>
      <c r="N14" s="96"/>
      <c r="O14" s="96"/>
      <c r="P14" s="96"/>
      <c r="Q14" s="96"/>
      <c r="R14" s="110"/>
    </row>
    <row r="15" spans="1:25" x14ac:dyDescent="0.25">
      <c r="A15" s="110"/>
      <c r="B15" s="96"/>
      <c r="C15" s="96"/>
      <c r="D15" s="96"/>
      <c r="E15" s="96"/>
      <c r="F15" s="96"/>
      <c r="G15" s="96"/>
      <c r="H15" s="96"/>
      <c r="I15" s="96"/>
      <c r="J15" s="96"/>
      <c r="K15" s="96"/>
      <c r="L15" s="96"/>
      <c r="M15" s="96"/>
      <c r="N15" s="96"/>
      <c r="O15" s="96"/>
      <c r="P15" s="96"/>
      <c r="Q15" s="96"/>
      <c r="R15" s="110"/>
    </row>
    <row r="16" spans="1:25" x14ac:dyDescent="0.25">
      <c r="A16" s="110"/>
      <c r="B16" s="96"/>
      <c r="C16" s="96"/>
      <c r="D16" s="96"/>
      <c r="E16" s="96"/>
      <c r="F16" s="96"/>
      <c r="G16" s="96"/>
      <c r="H16" s="96"/>
      <c r="I16" s="96"/>
      <c r="J16" s="96"/>
      <c r="K16" s="96"/>
      <c r="L16" s="96"/>
      <c r="M16" s="96"/>
      <c r="N16" s="96"/>
      <c r="O16" s="96"/>
      <c r="P16" s="96"/>
      <c r="Q16" s="96"/>
      <c r="R16" s="110"/>
    </row>
    <row r="17" spans="1:18" x14ac:dyDescent="0.25">
      <c r="A17" s="110"/>
      <c r="B17" s="96"/>
      <c r="C17" s="96"/>
      <c r="D17" s="96"/>
      <c r="E17" s="96"/>
      <c r="F17" s="96"/>
      <c r="G17" s="96"/>
      <c r="H17" s="96"/>
      <c r="I17" s="96"/>
      <c r="J17" s="96"/>
      <c r="K17" s="96"/>
      <c r="L17" s="96"/>
      <c r="M17" s="96"/>
      <c r="N17" s="96"/>
      <c r="O17" s="96"/>
      <c r="P17" s="96"/>
      <c r="Q17" s="96"/>
      <c r="R17" s="110"/>
    </row>
    <row r="18" spans="1:18" x14ac:dyDescent="0.25">
      <c r="A18" s="110"/>
      <c r="B18" s="96"/>
      <c r="C18" s="96"/>
      <c r="D18" s="96"/>
      <c r="E18" s="96"/>
      <c r="F18" s="96"/>
      <c r="G18" s="96"/>
      <c r="H18" s="96"/>
      <c r="I18" s="96"/>
      <c r="J18" s="96"/>
      <c r="K18" s="96"/>
      <c r="L18" s="96"/>
      <c r="M18" s="96"/>
      <c r="N18" s="96"/>
      <c r="O18" s="96"/>
      <c r="P18" s="96"/>
      <c r="Q18" s="96"/>
      <c r="R18" s="110"/>
    </row>
    <row r="19" spans="1:18" x14ac:dyDescent="0.25">
      <c r="A19" s="110"/>
      <c r="B19" s="96"/>
      <c r="C19" s="96"/>
      <c r="D19" s="96"/>
      <c r="E19" s="96"/>
      <c r="F19" s="96"/>
      <c r="G19" s="96"/>
      <c r="H19" s="96"/>
      <c r="I19" s="96"/>
      <c r="J19" s="96"/>
      <c r="K19" s="96"/>
      <c r="L19" s="96"/>
      <c r="M19" s="96"/>
      <c r="N19" s="96"/>
      <c r="O19" s="96"/>
      <c r="P19" s="96"/>
      <c r="Q19" s="96"/>
      <c r="R19" s="110"/>
    </row>
    <row r="20" spans="1:18" x14ac:dyDescent="0.25">
      <c r="A20" s="110"/>
      <c r="B20" s="96"/>
      <c r="C20" s="96"/>
      <c r="D20" s="96"/>
      <c r="E20" s="96"/>
      <c r="F20" s="96"/>
      <c r="G20" s="96"/>
      <c r="H20" s="96"/>
      <c r="I20" s="96"/>
      <c r="J20" s="96"/>
      <c r="K20" s="96"/>
      <c r="L20" s="96"/>
      <c r="M20" s="96"/>
      <c r="N20" s="96"/>
      <c r="O20" s="96"/>
      <c r="P20" s="96"/>
      <c r="Q20" s="96"/>
      <c r="R20" s="110"/>
    </row>
    <row r="21" spans="1:18" x14ac:dyDescent="0.25">
      <c r="A21" s="110"/>
      <c r="B21" s="96"/>
      <c r="C21" s="96"/>
      <c r="D21" s="96"/>
      <c r="E21" s="96"/>
      <c r="F21" s="96"/>
      <c r="G21" s="96"/>
      <c r="H21" s="96"/>
      <c r="I21" s="96"/>
      <c r="J21" s="96"/>
      <c r="K21" s="96"/>
      <c r="L21" s="96"/>
      <c r="M21" s="96"/>
      <c r="N21" s="96"/>
      <c r="O21" s="96"/>
      <c r="P21" s="96"/>
      <c r="Q21" s="96"/>
      <c r="R21" s="110"/>
    </row>
    <row r="22" spans="1:18" x14ac:dyDescent="0.25">
      <c r="A22" s="110"/>
      <c r="B22" s="96"/>
      <c r="C22" s="96"/>
      <c r="D22" s="96"/>
      <c r="E22" s="96"/>
      <c r="F22" s="96"/>
      <c r="G22" s="96"/>
      <c r="H22" s="96"/>
      <c r="I22" s="96"/>
      <c r="J22" s="96"/>
      <c r="K22" s="96"/>
      <c r="L22" s="96"/>
      <c r="M22" s="96"/>
      <c r="N22" s="96"/>
      <c r="O22" s="96"/>
      <c r="P22" s="96"/>
      <c r="Q22" s="96"/>
      <c r="R22" s="110"/>
    </row>
    <row r="23" spans="1:18" x14ac:dyDescent="0.25">
      <c r="A23" s="110"/>
      <c r="B23" s="96"/>
      <c r="C23" s="96"/>
      <c r="D23" s="96"/>
      <c r="E23" s="96"/>
      <c r="F23" s="96"/>
      <c r="G23" s="96"/>
      <c r="H23" s="96"/>
      <c r="I23" s="96"/>
      <c r="J23" s="96"/>
      <c r="K23" s="96"/>
      <c r="L23" s="96"/>
      <c r="M23" s="96"/>
      <c r="N23" s="96"/>
      <c r="O23" s="96"/>
      <c r="P23" s="96"/>
      <c r="Q23" s="96"/>
      <c r="R23" s="110"/>
    </row>
    <row r="24" spans="1:18" x14ac:dyDescent="0.25">
      <c r="A24" s="110"/>
      <c r="B24" s="96"/>
      <c r="C24" s="96"/>
      <c r="D24" s="96"/>
      <c r="E24" s="96"/>
      <c r="F24" s="96"/>
      <c r="G24" s="96"/>
      <c r="H24" s="96"/>
      <c r="I24" s="96"/>
      <c r="J24" s="96"/>
      <c r="K24" s="96"/>
      <c r="L24" s="96"/>
      <c r="M24" s="96"/>
      <c r="N24" s="96"/>
      <c r="O24" s="96"/>
      <c r="P24" s="96"/>
      <c r="Q24" s="96"/>
      <c r="R24" s="110"/>
    </row>
    <row r="25" spans="1:18" x14ac:dyDescent="0.25">
      <c r="A25" s="110"/>
      <c r="B25" s="96"/>
      <c r="C25" s="96"/>
      <c r="D25" s="96"/>
      <c r="E25" s="96"/>
      <c r="F25" s="96"/>
      <c r="G25" s="96"/>
      <c r="H25" s="96"/>
      <c r="I25" s="96"/>
      <c r="J25" s="96"/>
      <c r="K25" s="96"/>
      <c r="L25" s="96"/>
      <c r="M25" s="96"/>
      <c r="N25" s="96"/>
      <c r="O25" s="96"/>
      <c r="P25" s="96"/>
      <c r="Q25" s="96"/>
      <c r="R25" s="110"/>
    </row>
    <row r="26" spans="1:18" ht="15.75" x14ac:dyDescent="0.25">
      <c r="A26" s="110"/>
      <c r="B26" s="96"/>
      <c r="C26" s="96"/>
      <c r="D26" s="96"/>
      <c r="E26" s="96"/>
      <c r="F26" s="96"/>
      <c r="G26" s="96"/>
      <c r="H26" s="96"/>
      <c r="I26" s="96"/>
      <c r="J26" s="96"/>
      <c r="K26" s="96"/>
      <c r="L26" s="96"/>
      <c r="M26" s="96"/>
      <c r="N26" s="96"/>
      <c r="O26" s="96"/>
      <c r="P26" s="99"/>
      <c r="Q26" s="96"/>
      <c r="R26" s="110"/>
    </row>
    <row r="27" spans="1:18" x14ac:dyDescent="0.25">
      <c r="A27" s="110"/>
      <c r="B27" s="110"/>
      <c r="C27" s="110"/>
      <c r="D27" s="110"/>
      <c r="E27" s="110"/>
      <c r="F27" s="110"/>
      <c r="G27" s="110"/>
      <c r="H27" s="110"/>
      <c r="I27" s="110"/>
      <c r="J27" s="110"/>
      <c r="K27" s="110"/>
      <c r="L27" s="110"/>
      <c r="M27" s="110"/>
      <c r="N27" s="110"/>
      <c r="O27" s="110"/>
      <c r="P27" s="110"/>
      <c r="Q27" s="110"/>
      <c r="R27" s="110"/>
    </row>
  </sheetData>
  <pageMargins left="0.511811024" right="0.511811024" top="0.78740157499999996" bottom="0.78740157499999996" header="0.31496062000000002" footer="0.31496062000000002"/>
  <pageSetup paperSize="9" orientation="portrait" horizontalDpi="0" verticalDpi="0"/>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B1006"/>
  <sheetViews>
    <sheetView showGridLines="0" workbookViewId="0">
      <pane ySplit="1" topLeftCell="A2" activePane="bottomLeft" state="frozen"/>
      <selection pane="bottomLeft" activeCell="A3" sqref="A3"/>
    </sheetView>
  </sheetViews>
  <sheetFormatPr defaultColWidth="14.42578125" defaultRowHeight="15" customHeight="1" x14ac:dyDescent="0.25"/>
  <cols>
    <col min="1" max="1" width="47.28515625" customWidth="1"/>
    <col min="2" max="2" width="154" customWidth="1"/>
    <col min="3" max="26" width="8.42578125" customWidth="1"/>
  </cols>
  <sheetData>
    <row r="1" spans="1:2" ht="44.1" customHeight="1" x14ac:dyDescent="0.25">
      <c r="A1" s="100" t="s">
        <v>32</v>
      </c>
      <c r="B1" s="100" t="s">
        <v>33</v>
      </c>
    </row>
    <row r="2" spans="1:2" ht="15.75" x14ac:dyDescent="0.25">
      <c r="A2" s="86" t="s">
        <v>110</v>
      </c>
      <c r="B2" s="78" t="s">
        <v>111</v>
      </c>
    </row>
    <row r="3" spans="1:2" ht="72.75" x14ac:dyDescent="0.25">
      <c r="A3" s="101" t="s">
        <v>112</v>
      </c>
      <c r="B3" s="102" t="s">
        <v>166</v>
      </c>
    </row>
    <row r="4" spans="1:2" ht="30" x14ac:dyDescent="0.25">
      <c r="A4" s="87" t="s">
        <v>113</v>
      </c>
      <c r="B4" s="79" t="s">
        <v>167</v>
      </c>
    </row>
    <row r="5" spans="1:2" ht="15.75" x14ac:dyDescent="0.25">
      <c r="A5" s="86" t="s">
        <v>243</v>
      </c>
      <c r="B5" s="80" t="s">
        <v>144</v>
      </c>
    </row>
    <row r="6" spans="1:2" ht="29.25" x14ac:dyDescent="0.25">
      <c r="A6" s="103" t="s">
        <v>108</v>
      </c>
      <c r="B6" s="102" t="s">
        <v>140</v>
      </c>
    </row>
    <row r="7" spans="1:2" ht="15.75" x14ac:dyDescent="0.25">
      <c r="A7" s="88" t="s">
        <v>34</v>
      </c>
      <c r="B7" s="81" t="s">
        <v>168</v>
      </c>
    </row>
    <row r="8" spans="1:2" ht="15.75" x14ac:dyDescent="0.25">
      <c r="A8" s="89" t="s">
        <v>35</v>
      </c>
      <c r="B8" s="82" t="s">
        <v>169</v>
      </c>
    </row>
    <row r="9" spans="1:2" ht="15.75" x14ac:dyDescent="0.25">
      <c r="A9" s="89" t="s">
        <v>7</v>
      </c>
      <c r="B9" s="82" t="s">
        <v>36</v>
      </c>
    </row>
    <row r="10" spans="1:2" ht="15.75" x14ac:dyDescent="0.25">
      <c r="A10" s="89" t="s">
        <v>8</v>
      </c>
      <c r="B10" s="82" t="s">
        <v>37</v>
      </c>
    </row>
    <row r="11" spans="1:2" ht="15.75" x14ac:dyDescent="0.25">
      <c r="A11" s="90" t="s">
        <v>114</v>
      </c>
      <c r="B11" s="83" t="s">
        <v>38</v>
      </c>
    </row>
    <row r="12" spans="1:2" ht="43.5" x14ac:dyDescent="0.25">
      <c r="A12" s="101" t="s">
        <v>145</v>
      </c>
      <c r="B12" s="102" t="s">
        <v>146</v>
      </c>
    </row>
    <row r="13" spans="1:2" ht="29.25" x14ac:dyDescent="0.25">
      <c r="A13" s="153" t="s">
        <v>9</v>
      </c>
      <c r="B13" s="84" t="s">
        <v>141</v>
      </c>
    </row>
    <row r="14" spans="1:2" x14ac:dyDescent="0.25">
      <c r="A14" s="154"/>
      <c r="B14" s="83" t="s">
        <v>109</v>
      </c>
    </row>
    <row r="15" spans="1:2" ht="63.95" customHeight="1" x14ac:dyDescent="0.25">
      <c r="A15" s="104" t="s">
        <v>143</v>
      </c>
      <c r="B15" s="105" t="s">
        <v>242</v>
      </c>
    </row>
    <row r="16" spans="1:2" ht="75.95" customHeight="1" x14ac:dyDescent="0.25">
      <c r="A16" s="87" t="s">
        <v>115</v>
      </c>
      <c r="B16" s="85" t="s">
        <v>170</v>
      </c>
    </row>
    <row r="17" spans="1:2" ht="42.75" x14ac:dyDescent="0.25">
      <c r="A17" s="106" t="s">
        <v>116</v>
      </c>
      <c r="B17" s="105" t="s">
        <v>147</v>
      </c>
    </row>
    <row r="18" spans="1:2" ht="29.25" x14ac:dyDescent="0.25">
      <c r="A18" s="87" t="s">
        <v>117</v>
      </c>
      <c r="B18" s="79" t="s">
        <v>142</v>
      </c>
    </row>
    <row r="19" spans="1:2" ht="27" customHeight="1" x14ac:dyDescent="0.25">
      <c r="A19" s="107" t="s">
        <v>118</v>
      </c>
      <c r="B19" s="108" t="s">
        <v>119</v>
      </c>
    </row>
    <row r="20" spans="1:2" ht="4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mergeCells count="1">
    <mergeCell ref="A13:A14"/>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56854"/>
    <outlinePr summaryBelow="0" summaryRight="0"/>
  </sheetPr>
  <dimension ref="A1:XE215"/>
  <sheetViews>
    <sheetView showGridLines="0" zoomScale="89" zoomScaleNormal="89" workbookViewId="0">
      <pane ySplit="4" topLeftCell="A5" activePane="bottomLeft" state="frozen"/>
      <selection activeCell="E1" sqref="E1"/>
      <selection pane="bottomLeft" activeCell="G25" sqref="G25"/>
    </sheetView>
  </sheetViews>
  <sheetFormatPr defaultColWidth="14.42578125" defaultRowHeight="15" x14ac:dyDescent="0.25"/>
  <cols>
    <col min="1" max="1" width="23.42578125" customWidth="1"/>
    <col min="2" max="2" width="48.28515625" customWidth="1"/>
    <col min="3" max="3" width="34.42578125" customWidth="1"/>
    <col min="4" max="4" width="25.42578125" customWidth="1"/>
    <col min="5" max="7" width="14.42578125" bestFit="1" customWidth="1"/>
    <col min="8" max="8" width="24.7109375" customWidth="1"/>
    <col min="9" max="9" width="14.42578125" bestFit="1" customWidth="1"/>
    <col min="93" max="93" width="17.28515625" customWidth="1"/>
  </cols>
  <sheetData>
    <row r="1" spans="1:629" hidden="1" x14ac:dyDescent="0.25">
      <c r="C1" s="5" t="s">
        <v>39</v>
      </c>
      <c r="D1" s="5" t="e">
        <f>SUBTOTAL(1,Tabela_2[01 - Você já presenciou ou sofreu comentários ofensivos, piadas ou insinuações inadequadas no ambiente de trabalho?
(- Responda pensando se já presenciou ou sofreu esse tipo de situação no trabalho.)])</f>
        <v>#DIV/0!</v>
      </c>
      <c r="E1" s="5" t="e">
        <f>SUBTOTAL(1,Tabela_2[02 - Você se sente à vontade para relatar situações de assédio moral ou sexual na empresa sem medo de represálias?
(-Responda se você se sente seguro(a) para relatar situações de assédio na empresa.)])</f>
        <v>#DIV/0!</v>
      </c>
      <c r="F1" s="5" t="e">
        <f>SUBTOTAL(1,Tabela_2[03 - Existe um canal seguro e sigiloso para denunciar assédio na empresa?
(-Responda se a empresa oferece um meio seguro para denunciar assédio e outras situações)])</f>
        <v>#DIV/0!</v>
      </c>
      <c r="G1" s="5" t="e">
        <f>SUBTOTAL(1,Tabela_2[04 - Há casos conhecidos de assédio moral ou sexual que não foram devidamente investigados ou punidos?
(- Responda se você percebe que situações de assédio não são tratadas corretamente.)])</f>
        <v>#DIV/0!</v>
      </c>
      <c r="H1" s="5" t="e">
        <f>SUBTOTAL(1,Tabela_2[05 - O RH e os gestores demonstram comprometimento real com a prevenção do assédio?
(- Responda se você percebe que situações de assédio não são tratadas corretamente.)])</f>
        <v>#DIV/0!</v>
      </c>
      <c r="I1" s="5" t="e">
        <f>SUBTOTAL(1,Tabela_2[06 - Você sente que pode contar com seus colegas em momentos de dificuldade?
(-Responda se você sente que pode contar com seus colegas quando precisa.)])</f>
        <v>#DIV/0!</v>
      </c>
      <c r="J1" s="5" t="e">
        <f>SUBTOTAL(1,Tabela_2[07 - Existe apoio da liderança para lidar com desafios relacionados ao trabalho?
(Responda se seus gestores ajudam quando surgem dificuldades no trabalho.)])</f>
        <v>#DIV/0!</v>
      </c>
      <c r="K1" s="5" t="e">
        <f>SUBTOTAL(1,Tabela_2[08 - O RH está presente e atuante quando surgem conflitos ou dificuldades no trabalho?
(Responda se o RH costuma apoiar quando há conflitos ou problemas.)])</f>
        <v>#DIV/0!</v>
      </c>
      <c r="L1" s="5" t="e">
        <f>SUBTOTAL(1,Tabela_2[09 - Os gestores promovem um ambiente saudável e respeitoso?
(Responda como você avalia o comportamento dos gestores no dia a dia.)])</f>
        <v>#DIV/0!</v>
      </c>
      <c r="M1" s="5" t="e">
        <f>SUBTOTAL(1,Tabela_2[10 - Você sente que pode expressar suas dificuldades no trabalho sem ser julgado(a)?
(Responda se você se sente à vontade para falar sobre dificuldades no trabalho.)])</f>
        <v>#DIV/0!</v>
      </c>
      <c r="N1" s="5" t="e">
        <f>SUBTOTAL(1,Tabela_2[11 - Mudanças organizacionais impactaram negativamente seu sentimento de segurança no trabalho? 
(Responda se mudanças na empresa afetaram sua sensação de segurança no trabalho.)])</f>
        <v>#DIV/0!</v>
      </c>
      <c r="O1" s="5" t="e">
        <f>SUBTOTAL(1,Tabela_2[12 - Há comunicação clara sobre mudanças que afetam a empresa ou os trabalhadores?
(Responda se a empresa costuma explicar bem as mudanças que acontecem.)])</f>
        <v>#DIV/0!</v>
      </c>
      <c r="P1" s="5" t="e">
        <f>SUBTOTAL(1,Tabela_2[13 - Você já sentiu que seu emprego estava ameaçado sem explicações claras durante períodos de mudança?
(Responda se já sentiu insegurança sobre seu emprego durante mudanças.)])</f>
        <v>#DIV/0!</v>
      </c>
      <c r="Q1" s="5" t="e">
        <f>SUBTOTAL(1,Tabela_2[14 - Existe transparência na comunicação da empresa durante processos de mudança?
(Responda se as mudanças são comunicadas de forma clara e aberta.)])</f>
        <v>#DIV/0!</v>
      </c>
      <c r="R1" s="5" t="e">
        <f>SUBTOTAL(1,Tabela_2[15 - Você recebe instruções claras sobre suas responsabilidades no trabalho?
(Responda se você entende bem quais são suas responsabilidades.)])</f>
        <v>#DIV/0!</v>
      </c>
      <c r="S1" s="5" t="e">
        <f>SUBTOTAL(1,Tabela_2[16 - A comunicação da empresa ajuda você a entender o que é esperado do seu trabalho?
(Responda se a empresa deixa claro o que espera do seu trabalho.)])</f>
        <v>#DIV/0!</v>
      </c>
      <c r="T1" s="5" t="e">
        <f>SUBTOTAL(1,Tabela_2[17 - A comunicação entre equipes e setores contribui para a clareza das suas tarefas?
(Responda se a comunicação entre áreas ajuda no seu trabalho.)])</f>
        <v>#DIV/0!</v>
      </c>
      <c r="U1" s="5" t="e">
        <f>SUBTOTAL(1,Tabela_2[18 - Você se sente confortável para pedir esclarecimentos quando não entende suas funções ou prioridades?
(Responda se você se sente à vontade para perguntar quando não entende algo.)])</f>
        <v>#DIV/0!</v>
      </c>
      <c r="V1" s="5" t="e">
        <f>SUBTOTAL(1,Tabela_2[19 - Você sente que seu esforço e desempenho são reconhecidos pela liderança?
(Responda se você se sente valorizado(a) pelo trabalho que realiza.)])</f>
        <v>#DIV/0!</v>
      </c>
      <c r="W1" s="5" t="e">
        <f>SUBTOTAL(1,Tabela_2[20 - Você recebe feedback construtivo sobre o seu trabalho com regularidade?
(Responda se você recebe orientações ou retornos sobre seu trabalho.)])</f>
        <v>#DIV/0!</v>
      </c>
      <c r="X1" s="5" t="e">
        <f>SUBTOTAL(1,Tabela_2[21 - Com que Frequência Você já se sentiu desmotivado(a) por falta de reconhecimento no trabalho?
(Responda se a falta de reconhecimento já te deixou desmotivado(a).])</f>
        <v>#DIV/0!</v>
      </c>
      <c r="Y1" s="5" t="e">
        <f>SUBTOTAL(1,Tabela_2[22 - Você tem liberdade para tomar decisões sobre como executar suas tarefas diárias?
(Responda se você pode sugerir melhorias ou decidir como fazer suas tarefas.)])</f>
        <v>#DIV/0!</v>
      </c>
      <c r="Z1" s="5" t="e">
        <f>SUBTOTAL(1,Tabela_2[23 - A empresa confia na sua capacidade de organizar e gerenciar o próprio trabalho?
(Responda se sente que a empresa confia na forma como você organiza seu trabalho.)])</f>
        <v>#DIV/0!</v>
      </c>
      <c r="AA1" s="5" t="e">
        <f>SUBTOTAL(1,Tabela_2[24 - Existe excesso de controle ou burocracia que interfere no seu desempenho?
(Responda se regras ou controles atrapalham seu desempenho.)])</f>
        <v>#DIV/0!</v>
      </c>
      <c r="AB1" s="5" t="e">
        <f>SUBTOTAL(1,Tabela_2[25 - Existe excesso de supervisão que impacta negativamente na sua produtividade ou bem-estar?])</f>
        <v>#DIV/0!</v>
      </c>
      <c r="AC1" s="5" t="e">
        <f>SUBTOTAL(1,Tabela_2[26 - Você acha justas e claras as formas que a empresa usa para avaliar o seu trabalho?
(Responda se as formas de avaliar seu trabalho são claras e justas.)])</f>
        <v>#DIV/0!</v>
      </c>
      <c r="AD1" s="5" t="e">
        <f>SUBTOTAL(1,Tabela_2[27 - Você sente que há igualdade no reconhecimento entre diferentes áreas ou equipes?
(Responda se você percebe tratamento justo entre equipes ou setores.)])</f>
        <v>#DIV/0!</v>
      </c>
      <c r="AE1" s="5" t="e">
        <f>SUBTOTAL(1,Tabela_2[28 - Você sente que há transparência nas decisões de desligamento na empresa?
(Responda se a empresa é clara quando ocorrem desligamentos.)])</f>
        <v>#DIV/0!</v>
      </c>
      <c r="AF1" s="5" t="e">
        <f>SUBTOTAL(1,Tabela_2[29 - Você já presenciou casos de demissões que considerasse injustas?
(Responda se já presenciou demissões que considerou injustas.)])</f>
        <v>#DIV/0!</v>
      </c>
      <c r="AG1" s="5" t="e">
        <f>SUBTOTAL(1,Tabela_2[30 - Você já vivenciou ou presenciou alguma situação de violência grave no trabalho (como agressão física, ameaça séria ou ataque verbal intenso)?])</f>
        <v>#DIV/0!</v>
      </c>
      <c r="AH1" s="5" t="e">
        <f>SUBTOTAL(1,Tabela_2[31 - Você já passou por algum evento grave no trabalho (como acidente sério, situação de risco extremo ou episódio muito impactante)?
Responda se já passou por situações muito graves ou perigosas no trabalho.])</f>
        <v>#DIV/0!</v>
      </c>
      <c r="AI1" s="5" t="e">
        <f>SUBTOTAL(1,Tabela_2[32 - Alguma situação vivida no trabalho já foi tão marcante que deixou medo, choque ou forte abalo emocional?
(Responda se alguma situação no trabalho já te causou forte abalo emocional.)])</f>
        <v>#DIV/0!</v>
      </c>
      <c r="AJ1" s="5" t="e">
        <f>SUBTOTAL(1,Tabela_2[33 - Você sente que, na maior parte do tempo, tem pouco trabalho a realizar durante sua jornada?
(Responda se costuma ter pouco trabalho durante sua jornada.)])</f>
        <v>#DIV/0!</v>
      </c>
      <c r="AK1" s="5" t="e">
        <f>SUBTOTAL(1,Tabela_2[34 - Você costuma ficar com tempo ocioso no trabalho por falta de tarefas ou demandas claras?
(Responda se frequentemente fica sem tarefas para realizar.)])</f>
        <v>#DIV/0!</v>
      </c>
      <c r="AL1" s="5" t="e">
        <f>SUBTOTAL(1,Tabela_2[35 - Você sente que suas habilidades ou conhecimentos são pouco utilizados no seu trabalho?
(Responda se sente que suas habilidades são pouco aproveitadas.)])</f>
        <v>#DIV/0!</v>
      </c>
      <c r="AM1" s="5" t="e">
        <f>SUBTOTAL(1,Tabela_2[36 - Seu trabalho costuma ser pouco desafiador ou repetitivo a ponto de gerar desânimo?
(Responda se o trabalho é repetitivo ou desmotivador.)])</f>
        <v>#DIV/0!</v>
      </c>
      <c r="AN1" s="5" t="e">
        <f>SUBTOTAL(1,Tabela_2[37 - Você sente que sua carga de trabalho diária é maior do que consegue realizar dentro do horário normal? 
(Responda se a quantidade de trabalho é maior do que consegue realizar.)])</f>
        <v>#DIV/0!</v>
      </c>
      <c r="AO1" s="5" t="e">
        <f>SUBTOTAL(1,Tabela_2[38 - Você frequentemente precisa fazer horas extras ou levar trabalho para casa?
(Responda se costuma trabalhar além do horário normal.)])</f>
        <v>#DIV/0!</v>
      </c>
      <c r="AP1" s="5" t="e">
        <f>SUBTOTAL(1,Tabela_2[39 - Você já teve sintomas físicos ou emocionais (como exaustão, ansiedade ou insônia) devido ao excesso de trabalho?
(Responda se o excesso de trabalho já afetou sua saúde)])</f>
        <v>#DIV/0!</v>
      </c>
      <c r="AQ1" s="5" t="e">
        <f>SUBTOTAL(1,Tabela_2[40 - A equipe é dimensionada/dividida corretamente para a demanda/quantidade de trabalho existente?
(Responda se a quantidade de pessoas é suficiente para a demanda.)])</f>
        <v>#DIV/0!</v>
      </c>
      <c r="AR1" s="5" t="e">
        <f>SUBTOTAL(1,Tabela_2[41 - Você já evitou colegas ou superiores por causa de desentendimentos frequentes?
(Responda se já evitou colegas ou superiores por conflitos.)])</f>
        <v>#DIV/0!</v>
      </c>
      <c r="AS1" s="5" t="e">
        <f>SUBTOTAL(1,Tabela_2[42 - Você percebe rivalidade excessiva ou desnecessária entre colegas ou setores?
(Responda se percebe disputas desnecessárias no trabalho.)])</f>
        <v>#DIV/0!</v>
      </c>
      <c r="AT1" s="5" t="e">
        <f>SUBTOTAL(1,Tabela_2[43 - Conflitos no trabalho costumam ser resolvidos de forma justa?
(Responda se os conflitos costumam ser resolvidos de forma justa.)])</f>
        <v>#DIV/0!</v>
      </c>
      <c r="AU1" s="5" t="e">
        <f>SUBTOTAL(1,Tabela_2[44 - Você trabalha em condições (como turnos diferentes, trabalho externo ou distância física) que dificultam a comunicação no trabalho?
(Responda se seu trabalho dificulta a comunicação com colegas ou líderes.)])</f>
        <v>#DIV/0!</v>
      </c>
      <c r="AV1" s="5" t="e">
        <f>SUBTOTAL(1,Tabela_2[45 - A distância física entre você e sua equipe ou liderança dificulta a troca de informações? 
(Responda se a distância atrapalha a troca de informações.)])</f>
        <v>#DIV/0!</v>
      </c>
      <c r="AW1" s="5" t="e">
        <f>SUBTOTAL(1,Tabela_2[46 - Você já teve dificuldade para receber informações importantes no momento certo por causa da organização do trabalho?
(Responda se já recebeu informações importantes com atraso.)])</f>
        <v>#DIV/0!</v>
      </c>
      <c r="AX1" s="5" t="e">
        <f>SUBTOTAL(1,Tabela_2[47 - Você tem acesso fácil aos meios necessários para se comunicar com colegas e liderança durante o trabalho?
(Responda se você tem meios adequados para se comunicar no trabalho.)])</f>
        <v>#DIV/0!</v>
      </c>
      <c r="AY1" s="5" t="e">
        <f>SUBTOTAL(1,Tabela_2[48 - Você trabalha grande parte do tempo de forma remota ou sozinho(a), com pouco contato presencial com colegas ou liderança?
(Responda se você trabalha a maior parte do tempo sozinho(a) ou à distância.)])</f>
        <v>#DIV/0!</v>
      </c>
      <c r="AZ1" s="5" t="e">
        <f>SUBTOTAL(1,Tabela_2[49 - Você sente que o trabalho remoto ou isolado faz com que se sinta distante da equipe ou da empresa?
(Responda se isso faz você se sentir distante da equipe ou da empresa.)])</f>
        <v>#DIV/0!</v>
      </c>
      <c r="BA1" s="5" t="e">
        <f>SUBTOTAL(1,Tabela_2[50 - Mesmo trabalhando de forma remota ou isolada, você sente que recebe apoio e acompanhamento adequados da empresa?(Responda se, mesmo à distância, você recebe apoio da empresa.)])</f>
        <v>#DIV/0!</v>
      </c>
      <c r="BB1" s="5" t="e">
        <f>SUBTOTAL(1,Tabela_2[Coluna1])</f>
        <v>#DIV/0!</v>
      </c>
      <c r="BC1" s="5" t="e">
        <f>SUBTOTAL(1,Tabela_2[Coluna2])</f>
        <v>#DIV/0!</v>
      </c>
      <c r="BD1" s="5" t="e">
        <f>SUBTOTAL(1,Tabela_2[Coluna3])</f>
        <v>#DIV/0!</v>
      </c>
      <c r="BE1" s="5" t="e">
        <f>SUBTOTAL(1,Tabela_2[Coluna4])</f>
        <v>#DIV/0!</v>
      </c>
      <c r="BF1" s="5" t="e">
        <f>SUBTOTAL(1,Tabela_2[Coluna5])</f>
        <v>#DIV/0!</v>
      </c>
      <c r="BG1" s="5" t="e">
        <f>SUBTOTAL(1,Tabela_2[Coluna6])</f>
        <v>#DIV/0!</v>
      </c>
      <c r="BH1" s="5" t="e">
        <f>SUBTOTAL(1,Tabela_2[Coluna7])</f>
        <v>#DIV/0!</v>
      </c>
      <c r="BI1" s="5" t="e">
        <f>SUBTOTAL(1,Tabela_2[Coluna8])</f>
        <v>#DIV/0!</v>
      </c>
      <c r="BJ1" s="5" t="e">
        <f>SUBTOTAL(1,Tabela_2[Coluna9])</f>
        <v>#DIV/0!</v>
      </c>
      <c r="BK1" s="5" t="e">
        <f>SUBTOTAL(1,Tabela_2[Coluna10])</f>
        <v>#DIV/0!</v>
      </c>
      <c r="BL1" s="5" t="e">
        <f>SUBTOTAL(1,Tabela_2[Coluna11])</f>
        <v>#DIV/0!</v>
      </c>
      <c r="BM1" s="5" t="e">
        <f>SUBTOTAL(1,Tabela_2[Coluna12])</f>
        <v>#DIV/0!</v>
      </c>
      <c r="BN1" s="5" t="e">
        <f>SUBTOTAL(1,Tabela_2[Coluna13])</f>
        <v>#DIV/0!</v>
      </c>
      <c r="BO1" s="5" t="e">
        <f>SUBTOTAL(1,Tabela_2[Coluna14])</f>
        <v>#DIV/0!</v>
      </c>
      <c r="BP1" s="5" t="e">
        <f>SUBTOTAL(1,Tabela_2[Coluna15])</f>
        <v>#DIV/0!</v>
      </c>
      <c r="BQ1" s="5" t="e">
        <f>SUBTOTAL(1,Tabela_2[Coluna16])</f>
        <v>#DIV/0!</v>
      </c>
      <c r="BR1" s="5" t="e">
        <f>SUBTOTAL(1,Tabela_2[Coluna17])</f>
        <v>#DIV/0!</v>
      </c>
      <c r="BS1" s="5" t="e">
        <f>SUBTOTAL(1,Tabela_2[Coluna18])</f>
        <v>#DIV/0!</v>
      </c>
      <c r="BT1" s="5" t="e">
        <f>SUBTOTAL(1,Tabela_2[Coluna19])</f>
        <v>#DIV/0!</v>
      </c>
      <c r="BU1" s="5" t="e">
        <f>SUBTOTAL(1,Tabela_2[Coluna20])</f>
        <v>#DIV/0!</v>
      </c>
      <c r="BV1" s="5" t="e">
        <f>SUBTOTAL(1,Tabela_2[Coluna21])</f>
        <v>#DIV/0!</v>
      </c>
      <c r="BW1" s="5" t="e">
        <f>SUBTOTAL(1,Tabela_2[Coluna22])</f>
        <v>#DIV/0!</v>
      </c>
      <c r="BX1" s="5" t="e">
        <f>SUBTOTAL(1,Tabela_2[Coluna23])</f>
        <v>#DIV/0!</v>
      </c>
      <c r="BY1" s="5" t="e">
        <f>SUBTOTAL(1,Tabela_2[Coluna24])</f>
        <v>#DIV/0!</v>
      </c>
      <c r="BZ1" s="5" t="e">
        <f>SUBTOTAL(1,Tabela_2[Coluna25])</f>
        <v>#DIV/0!</v>
      </c>
      <c r="CA1" s="5" t="e">
        <f>SUBTOTAL(1,Tabela_2[Coluna26])</f>
        <v>#DIV/0!</v>
      </c>
      <c r="CB1" s="5" t="e">
        <f>SUBTOTAL(1,Tabela_2[Coluna27])</f>
        <v>#DIV/0!</v>
      </c>
      <c r="CC1" s="5" t="e">
        <f>SUBTOTAL(1,Tabela_2[Coluna28])</f>
        <v>#DIV/0!</v>
      </c>
      <c r="CD1" s="5" t="e">
        <f>SUBTOTAL(1,Tabela_2[Coluna29])</f>
        <v>#DIV/0!</v>
      </c>
      <c r="CE1" s="5" t="e">
        <f>SUBTOTAL(1,Tabela_2[Coluna30])</f>
        <v>#DIV/0!</v>
      </c>
      <c r="CF1" s="5" t="e">
        <f>SUBTOTAL(1,Tabela_2[Coluna31])</f>
        <v>#DIV/0!</v>
      </c>
      <c r="CG1" s="5" t="e">
        <f>SUBTOTAL(1,Tabela_2[Coluna32])</f>
        <v>#DIV/0!</v>
      </c>
      <c r="CH1" s="5" t="e">
        <f>SUBTOTAL(1,Tabela_2[Coluna33])</f>
        <v>#DIV/0!</v>
      </c>
      <c r="CI1" s="5" t="e">
        <f>SUBTOTAL(1,Tabela_2[Coluna34])</f>
        <v>#DIV/0!</v>
      </c>
      <c r="CJ1" s="5" t="e">
        <f>SUBTOTAL(1,Tabela_2[Coluna35])</f>
        <v>#DIV/0!</v>
      </c>
      <c r="CK1" s="5" t="e">
        <f>SUBTOTAL(1,Tabela_2[Coluna36])</f>
        <v>#DIV/0!</v>
      </c>
      <c r="CL1" s="5" t="e">
        <f>SUBTOTAL(1,Tabela_2[Coluna37])</f>
        <v>#DIV/0!</v>
      </c>
      <c r="CM1" s="5" t="e">
        <f>SUBTOTAL(1,Tabela_2[Coluna38])</f>
        <v>#DIV/0!</v>
      </c>
      <c r="CN1" s="5" t="e">
        <f>SUBTOTAL(1,Tabela_2[Coluna39])</f>
        <v>#DIV/0!</v>
      </c>
      <c r="CO1" s="5" t="e">
        <f>SUBTOTAL(1,Tabela_2[Coluna40])</f>
        <v>#DIV/0!</v>
      </c>
    </row>
    <row r="2" spans="1:629" hidden="1" x14ac:dyDescent="0.25">
      <c r="C2" s="5" t="s">
        <v>120</v>
      </c>
      <c r="D2" s="70" t="e">
        <f>AVERAGE(Tabela_2[[#All],[01 - Você já presenciou ou sofreu comentários ofensivos, piadas ou insinuações inadequadas no ambiente de trabalho?
(- Responda pensando se já presenciou ou sofreu esse tipo de situação no trabalho.)]])</f>
        <v>#DIV/0!</v>
      </c>
      <c r="E2" s="70" t="e">
        <f>AVERAGE(Tabela_2[[#All],[02 - Você se sente à vontade para relatar situações de assédio moral ou sexual na empresa sem medo de represálias?
(-Responda se você se sente seguro(a) para relatar situações de assédio na empresa.)]])</f>
        <v>#DIV/0!</v>
      </c>
      <c r="F2" s="70" t="e">
        <f>AVERAGE(Tabela_2[[#All],[03 - Existe um canal seguro e sigiloso para denunciar assédio na empresa?
(-Responda se a empresa oferece um meio seguro para denunciar assédio e outras situações)]])</f>
        <v>#DIV/0!</v>
      </c>
      <c r="G2" s="70" t="e">
        <f>AVERAGE(Tabela_2[[#All],[04 - Há casos conhecidos de assédio moral ou sexual que não foram devidamente investigados ou punidos?
(- Responda se você percebe que situações de assédio não são tratadas corretamente.)]])</f>
        <v>#DIV/0!</v>
      </c>
      <c r="H2" s="70" t="e">
        <f>AVERAGE(Tabela_2[[#All],[05 - O RH e os gestores demonstram comprometimento real com a prevenção do assédio?
(- Responda se você percebe que situações de assédio não são tratadas corretamente.)]])</f>
        <v>#DIV/0!</v>
      </c>
      <c r="I2" s="70" t="e">
        <f>AVERAGE(Tabela_2[[#All],[06 - Você sente que pode contar com seus colegas em momentos de dificuldade?
(-Responda se você sente que pode contar com seus colegas quando precisa.)]])</f>
        <v>#DIV/0!</v>
      </c>
      <c r="J2" s="70" t="e">
        <f>AVERAGE(Tabela_2[[#All],[07 - Existe apoio da liderança para lidar com desafios relacionados ao trabalho?
(Responda se seus gestores ajudam quando surgem dificuldades no trabalho.)]])</f>
        <v>#DIV/0!</v>
      </c>
      <c r="K2" s="70" t="e">
        <f>AVERAGE(Tabela_2[[#All],[08 - O RH está presente e atuante quando surgem conflitos ou dificuldades no trabalho?
(Responda se o RH costuma apoiar quando há conflitos ou problemas.)]])</f>
        <v>#DIV/0!</v>
      </c>
      <c r="L2" s="70" t="e">
        <f>AVERAGE(Tabela_2[[#All],[09 - Os gestores promovem um ambiente saudável e respeitoso?
(Responda como você avalia o comportamento dos gestores no dia a dia.)]])</f>
        <v>#DIV/0!</v>
      </c>
      <c r="M2" s="70" t="e">
        <f>AVERAGE(Tabela_2[[#All],[10 - Você sente que pode expressar suas dificuldades no trabalho sem ser julgado(a)?
(Responda se você se sente à vontade para falar sobre dificuldades no trabalho.)]])</f>
        <v>#DIV/0!</v>
      </c>
      <c r="N2" s="5" t="e">
        <f>AVERAGE(Tabela_2[[#All],[11 - Mudanças organizacionais impactaram negativamente seu sentimento de segurança no trabalho? 
(Responda se mudanças na empresa afetaram sua sensação de segurança no trabalho.)]])</f>
        <v>#DIV/0!</v>
      </c>
      <c r="O2" s="5" t="e">
        <f>AVERAGE(Tabela_2[[#All],[12 - Há comunicação clara sobre mudanças que afetam a empresa ou os trabalhadores?
(Responda se a empresa costuma explicar bem as mudanças que acontecem.)]])</f>
        <v>#DIV/0!</v>
      </c>
      <c r="P2" s="5" t="e">
        <f>AVERAGE(Tabela_2[[#All],[13 - Você já sentiu que seu emprego estava ameaçado sem explicações claras durante períodos de mudança?
(Responda se já sentiu insegurança sobre seu emprego durante mudanças.)]])</f>
        <v>#DIV/0!</v>
      </c>
      <c r="Q2" s="5" t="e">
        <f>AVERAGE(Tabela_2[[#All],[14 - Existe transparência na comunicação da empresa durante processos de mudança?
(Responda se as mudanças são comunicadas de forma clara e aberta.)]])</f>
        <v>#DIV/0!</v>
      </c>
      <c r="R2" s="5" t="e">
        <f>AVERAGE(Tabela_2[[#All],[15 - Você recebe instruções claras sobre suas responsabilidades no trabalho?
(Responda se você entende bem quais são suas responsabilidades.)]])</f>
        <v>#DIV/0!</v>
      </c>
      <c r="S2" s="5" t="e">
        <f>AVERAGE(Tabela_2[[#All],[16 - A comunicação da empresa ajuda você a entender o que é esperado do seu trabalho?
(Responda se a empresa deixa claro o que espera do seu trabalho.)]])</f>
        <v>#DIV/0!</v>
      </c>
      <c r="T2" s="5" t="e">
        <f>AVERAGE(Tabela_2[[#All],[17 - A comunicação entre equipes e setores contribui para a clareza das suas tarefas?
(Responda se a comunicação entre áreas ajuda no seu trabalho.)]])</f>
        <v>#DIV/0!</v>
      </c>
      <c r="U2" s="5" t="e">
        <f>AVERAGE(Tabela_2[[#All],[18 - Você se sente confortável para pedir esclarecimentos quando não entende suas funções ou prioridades?
(Responda se você se sente à vontade para perguntar quando não entende algo.)]])</f>
        <v>#DIV/0!</v>
      </c>
      <c r="V2" s="5" t="e">
        <f>AVERAGE(Tabela_2[[#All],[19 - Você sente que seu esforço e desempenho são reconhecidos pela liderança?
(Responda se você se sente valorizado(a) pelo trabalho que realiza.)]])</f>
        <v>#DIV/0!</v>
      </c>
      <c r="W2" s="5" t="e">
        <f>AVERAGE(Tabela_2[[#All],[20 - Você recebe feedback construtivo sobre o seu trabalho com regularidade?
(Responda se você recebe orientações ou retornos sobre seu trabalho.)]])</f>
        <v>#DIV/0!</v>
      </c>
      <c r="X2" s="5" t="e">
        <f>AVERAGE(Tabela_2[[#All],[21 - Com que Frequência Você já se sentiu desmotivado(a) por falta de reconhecimento no trabalho?
(Responda se a falta de reconhecimento já te deixou desmotivado(a).]])</f>
        <v>#DIV/0!</v>
      </c>
      <c r="Y2" s="5" t="e">
        <f>AVERAGE(Tabela_2[[#All],[22 - Você tem liberdade para tomar decisões sobre como executar suas tarefas diárias?
(Responda se você pode sugerir melhorias ou decidir como fazer suas tarefas.)]])</f>
        <v>#DIV/0!</v>
      </c>
      <c r="Z2" s="5" t="e">
        <f>AVERAGE(Tabela_2[[#All],[23 - A empresa confia na sua capacidade de organizar e gerenciar o próprio trabalho?
(Responda se sente que a empresa confia na forma como você organiza seu trabalho.)]])</f>
        <v>#DIV/0!</v>
      </c>
      <c r="AA2" s="5" t="e">
        <f>AVERAGE(Tabela_2[[#All],[24 - Existe excesso de controle ou burocracia que interfere no seu desempenho?
(Responda se regras ou controles atrapalham seu desempenho.)]])</f>
        <v>#DIV/0!</v>
      </c>
      <c r="AB2" s="5" t="e">
        <f>AVERAGE(Tabela_2[[#All],[25 - Existe excesso de supervisão que impacta negativamente na sua produtividade ou bem-estar?]])</f>
        <v>#DIV/0!</v>
      </c>
      <c r="AC2" s="5" t="e">
        <f>AVERAGE(Tabela_2[[#All],[26 - Você acha justas e claras as formas que a empresa usa para avaliar o seu trabalho?
(Responda se as formas de avaliar seu trabalho são claras e justas.)]])</f>
        <v>#DIV/0!</v>
      </c>
      <c r="AD2" s="5" t="e">
        <f>AVERAGE(Tabela_2[[#All],[27 - Você sente que há igualdade no reconhecimento entre diferentes áreas ou equipes?
(Responda se você percebe tratamento justo entre equipes ou setores.)]])</f>
        <v>#DIV/0!</v>
      </c>
      <c r="AE2" s="5" t="e">
        <f>AVERAGE(Tabela_2[[#All],[28 - Você sente que há transparência nas decisões de desligamento na empresa?
(Responda se a empresa é clara quando ocorrem desligamentos.)]])</f>
        <v>#DIV/0!</v>
      </c>
      <c r="AF2" s="5" t="e">
        <f>AVERAGE(Tabela_2[[#All],[29 - Você já presenciou casos de demissões que considerasse injustas?
(Responda se já presenciou demissões que considerou injustas.)]])</f>
        <v>#DIV/0!</v>
      </c>
      <c r="AG2" s="5" t="e">
        <f>AVERAGE(Tabela_2[[#All],[30 - Você já vivenciou ou presenciou alguma situação de violência grave no trabalho (como agressão física, ameaça séria ou ataque verbal intenso)?]])</f>
        <v>#DIV/0!</v>
      </c>
      <c r="AH2" s="5" t="e">
        <f>AVERAGE(Tabela_2[[#All],[31 - Você já passou por algum evento grave no trabalho (como acidente sério, situação de risco extremo ou episódio muito impactante)?
Responda se já passou por situações muito graves ou perigosas no trabalho.]])</f>
        <v>#DIV/0!</v>
      </c>
      <c r="AI2" s="5" t="e">
        <f>AVERAGE(Tabela_2[[#All],[32 - Alguma situação vivida no trabalho já foi tão marcante que deixou medo, choque ou forte abalo emocional?
(Responda se alguma situação no trabalho já te causou forte abalo emocional.)]])</f>
        <v>#DIV/0!</v>
      </c>
      <c r="AJ2" s="5" t="e">
        <f>AVERAGE(Tabela_2[[#All],[33 - Você sente que, na maior parte do tempo, tem pouco trabalho a realizar durante sua jornada?
(Responda se costuma ter pouco trabalho durante sua jornada.)]])</f>
        <v>#DIV/0!</v>
      </c>
      <c r="AK2" s="5" t="e">
        <f>AVERAGE(Tabela_2[[#All],[34 - Você costuma ficar com tempo ocioso no trabalho por falta de tarefas ou demandas claras?
(Responda se frequentemente fica sem tarefas para realizar.)]])</f>
        <v>#DIV/0!</v>
      </c>
      <c r="AL2" s="5" t="e">
        <f>AVERAGE(Tabela_2[[#All],[35 - Você sente que suas habilidades ou conhecimentos são pouco utilizados no seu trabalho?
(Responda se sente que suas habilidades são pouco aproveitadas.)]])</f>
        <v>#DIV/0!</v>
      </c>
      <c r="AM2" s="5" t="e">
        <f>AVERAGE(Tabela_2[[#All],[36 - Seu trabalho costuma ser pouco desafiador ou repetitivo a ponto de gerar desânimo?
(Responda se o trabalho é repetitivo ou desmotivador.)]])</f>
        <v>#DIV/0!</v>
      </c>
      <c r="AN2" s="5" t="e">
        <f>AVERAGE(Tabela_2[[#All],[37 - Você sente que sua carga de trabalho diária é maior do que consegue realizar dentro do horário normal? 
(Responda se a quantidade de trabalho é maior do que consegue realizar.)]])</f>
        <v>#DIV/0!</v>
      </c>
      <c r="AO2" s="5" t="e">
        <f>AVERAGE(Tabela_2[[#All],[38 - Você frequentemente precisa fazer horas extras ou levar trabalho para casa?
(Responda se costuma trabalhar além do horário normal.)]])</f>
        <v>#DIV/0!</v>
      </c>
      <c r="AP2" s="5" t="e">
        <f>AVERAGE(Tabela_2[[#All],[39 - Você já teve sintomas físicos ou emocionais (como exaustão, ansiedade ou insônia) devido ao excesso de trabalho?
(Responda se o excesso de trabalho já afetou sua saúde)]])</f>
        <v>#DIV/0!</v>
      </c>
      <c r="AQ2" s="5" t="e">
        <f>AVERAGE(Tabela_2[[#All],[40 - A equipe é dimensionada/dividida corretamente para a demanda/quantidade de trabalho existente?
(Responda se a quantidade de pessoas é suficiente para a demanda.)]])</f>
        <v>#DIV/0!</v>
      </c>
      <c r="AR2" s="5" t="e">
        <f>AVERAGE(Tabela_2[[#All],[41 - Você já evitou colegas ou superiores por causa de desentendimentos frequentes?
(Responda se já evitou colegas ou superiores por conflitos.)]])</f>
        <v>#DIV/0!</v>
      </c>
      <c r="AS2" s="5" t="e">
        <f>AVERAGE(Tabela_2[[#All],[42 - Você percebe rivalidade excessiva ou desnecessária entre colegas ou setores?
(Responda se percebe disputas desnecessárias no trabalho.)]])</f>
        <v>#DIV/0!</v>
      </c>
      <c r="AT2" s="5" t="e">
        <f>AVERAGE(Tabela_2[[#All],[43 - Conflitos no trabalho costumam ser resolvidos de forma justa?
(Responda se os conflitos costumam ser resolvidos de forma justa.)]])</f>
        <v>#DIV/0!</v>
      </c>
      <c r="AU2" s="5" t="e">
        <f>AVERAGE(Tabela_2[[#All],[44 - Você trabalha em condições (como turnos diferentes, trabalho externo ou distância física) que dificultam a comunicação no trabalho?
(Responda se seu trabalho dificulta a comunicação com colegas ou líderes.)]])</f>
        <v>#DIV/0!</v>
      </c>
      <c r="AV2" s="5" t="e">
        <f>AVERAGE(Tabela_2[[#All],[45 - A distância física entre você e sua equipe ou liderança dificulta a troca de informações? 
(Responda se a distância atrapalha a troca de informações.)]])</f>
        <v>#DIV/0!</v>
      </c>
      <c r="AW2" s="5" t="e">
        <f>AVERAGE(Tabela_2[[#All],[46 - Você já teve dificuldade para receber informações importantes no momento certo por causa da organização do trabalho?
(Responda se já recebeu informações importantes com atraso.)]])</f>
        <v>#DIV/0!</v>
      </c>
      <c r="AX2" s="5" t="e">
        <f>AVERAGE(Tabela_2[[#All],[47 - Você tem acesso fácil aos meios necessários para se comunicar com colegas e liderança durante o trabalho?
(Responda se você tem meios adequados para se comunicar no trabalho.)]])</f>
        <v>#DIV/0!</v>
      </c>
      <c r="AY2" s="5" t="e">
        <f>AVERAGE(Tabela_2[[#All],[48 - Você trabalha grande parte do tempo de forma remota ou sozinho(a), com pouco contato presencial com colegas ou liderança?
(Responda se você trabalha a maior parte do tempo sozinho(a) ou à distância.)]])</f>
        <v>#DIV/0!</v>
      </c>
      <c r="AZ2" s="5" t="e">
        <f>AVERAGE(Tabela_2[[#All],[49 - Você sente que o trabalho remoto ou isolado faz com que se sinta distante da equipe ou da empresa?
(Responda se isso faz você se sentir distante da equipe ou da empresa.)]])</f>
        <v>#DIV/0!</v>
      </c>
      <c r="BA2" s="5" t="e">
        <f>AVERAGE(Tabela_2[[#All],[50 - Mesmo trabalhando de forma remota ou isolada, você sente que recebe apoio e acompanhamento adequados da empresa?(Responda se, mesmo à distância, você recebe apoio da empresa.)]])</f>
        <v>#DIV/0!</v>
      </c>
      <c r="BB2" s="5" t="e">
        <f>AVERAGE(Tabela_2[[#All],[Coluna1]])</f>
        <v>#DIV/0!</v>
      </c>
      <c r="BC2" s="5" t="e">
        <f>AVERAGE(Tabela_2[[#All],[Coluna2]])</f>
        <v>#DIV/0!</v>
      </c>
      <c r="BD2" s="5" t="e">
        <f>AVERAGE(Tabela_2[[#All],[Coluna3]])</f>
        <v>#DIV/0!</v>
      </c>
      <c r="BE2" s="5" t="e">
        <f>AVERAGE(Tabela_2[[#All],[Coluna4]])</f>
        <v>#DIV/0!</v>
      </c>
      <c r="BF2" s="5" t="e">
        <f>AVERAGE(Tabela_2[[#All],[Coluna5]])</f>
        <v>#DIV/0!</v>
      </c>
      <c r="BG2" s="5" t="e">
        <f>AVERAGE(Tabela_2[[#All],[Coluna6]])</f>
        <v>#DIV/0!</v>
      </c>
      <c r="BH2" s="5" t="e">
        <f>AVERAGE(Tabela_2[[#All],[Coluna7]])</f>
        <v>#DIV/0!</v>
      </c>
      <c r="BI2" s="5" t="e">
        <f>AVERAGE(Tabela_2[[#All],[Coluna8]])</f>
        <v>#DIV/0!</v>
      </c>
      <c r="BJ2" s="5" t="e">
        <f>AVERAGE(Tabela_2[[#All],[Coluna9]])</f>
        <v>#DIV/0!</v>
      </c>
      <c r="BK2" s="5" t="e">
        <f>AVERAGE(Tabela_2[[#All],[Coluna10]])</f>
        <v>#DIV/0!</v>
      </c>
      <c r="BL2" s="5" t="e">
        <f>AVERAGE(Tabela_2[[#All],[Coluna11]])</f>
        <v>#DIV/0!</v>
      </c>
      <c r="BM2" s="5" t="e">
        <f>AVERAGE(Tabela_2[[#All],[Coluna12]])</f>
        <v>#DIV/0!</v>
      </c>
      <c r="BN2" s="5" t="e">
        <f>AVERAGE(Tabela_2[[#All],[Coluna13]])</f>
        <v>#DIV/0!</v>
      </c>
      <c r="BO2" s="5" t="e">
        <f>AVERAGE(Tabela_2[[#All],[Coluna14]])</f>
        <v>#DIV/0!</v>
      </c>
      <c r="BP2" s="5" t="e">
        <f>AVERAGE(Tabela_2[[#All],[Coluna15]])</f>
        <v>#DIV/0!</v>
      </c>
      <c r="BQ2" s="5" t="e">
        <f>AVERAGE(Tabela_2[[#All],[Coluna16]])</f>
        <v>#DIV/0!</v>
      </c>
      <c r="BR2" s="5" t="e">
        <f>AVERAGE(Tabela_2[[#All],[Coluna17]])</f>
        <v>#DIV/0!</v>
      </c>
      <c r="BS2" s="5" t="e">
        <f>AVERAGE(Tabela_2[[#All],[Coluna18]])</f>
        <v>#DIV/0!</v>
      </c>
      <c r="BT2" s="5" t="e">
        <f>AVERAGE(Tabela_2[[#All],[Coluna19]])</f>
        <v>#DIV/0!</v>
      </c>
      <c r="BU2" s="5" t="e">
        <f>AVERAGE(Tabela_2[[#All],[Coluna20]])</f>
        <v>#DIV/0!</v>
      </c>
      <c r="BV2" s="5" t="e">
        <f>AVERAGE(Tabela_2[[#All],[Coluna21]])</f>
        <v>#DIV/0!</v>
      </c>
      <c r="BW2" s="5" t="e">
        <f>AVERAGE(Tabela_2[[#All],[Coluna22]])</f>
        <v>#DIV/0!</v>
      </c>
      <c r="BX2" s="5" t="e">
        <f>AVERAGE(Tabela_2[[#All],[Coluna23]])</f>
        <v>#DIV/0!</v>
      </c>
      <c r="BY2" s="5" t="e">
        <f>AVERAGE(Tabela_2[[#All],[Coluna24]])</f>
        <v>#DIV/0!</v>
      </c>
      <c r="BZ2" s="5" t="e">
        <f>AVERAGE(Tabela_2[[#All],[Coluna25]])</f>
        <v>#DIV/0!</v>
      </c>
      <c r="CA2" s="5" t="e">
        <f>AVERAGE(Tabela_2[[#All],[Coluna26]])</f>
        <v>#DIV/0!</v>
      </c>
      <c r="CB2" s="5" t="e">
        <f>AVERAGE(Tabela_2[[#All],[Coluna27]])</f>
        <v>#DIV/0!</v>
      </c>
      <c r="CC2" s="5" t="e">
        <f>AVERAGE(Tabela_2[[#All],[Coluna28]])</f>
        <v>#DIV/0!</v>
      </c>
      <c r="CD2" s="5" t="e">
        <f>AVERAGE(Tabela_2[[#All],[Coluna29]])</f>
        <v>#DIV/0!</v>
      </c>
      <c r="CE2" s="5" t="e">
        <f>AVERAGE(Tabela_2[[#All],[Coluna30]])</f>
        <v>#DIV/0!</v>
      </c>
      <c r="CF2" s="5" t="e">
        <f>AVERAGE(Tabela_2[[#All],[Coluna31]])</f>
        <v>#DIV/0!</v>
      </c>
      <c r="CG2" s="5" t="e">
        <f>AVERAGE(Tabela_2[[#All],[Coluna32]])</f>
        <v>#DIV/0!</v>
      </c>
      <c r="CH2" s="5" t="e">
        <f>AVERAGE(Tabela_2[[#All],[Coluna33]])</f>
        <v>#DIV/0!</v>
      </c>
      <c r="CI2" s="5" t="e">
        <f>AVERAGE(Tabela_2[[#All],[Coluna34]])</f>
        <v>#DIV/0!</v>
      </c>
      <c r="CJ2" s="5" t="e">
        <f>AVERAGE(Tabela_2[[#All],[Coluna35]])</f>
        <v>#DIV/0!</v>
      </c>
      <c r="CK2" s="5" t="e">
        <f>AVERAGE(Tabela_2[[#All],[Coluna36]])</f>
        <v>#DIV/0!</v>
      </c>
      <c r="CL2" s="5" t="e">
        <f>AVERAGE(Tabela_2[[#All],[Coluna37]])</f>
        <v>#DIV/0!</v>
      </c>
      <c r="CM2" s="5" t="e">
        <f>AVERAGE(Tabela_2[[#All],[Coluna38]])</f>
        <v>#DIV/0!</v>
      </c>
      <c r="CN2" s="5" t="e">
        <f>AVERAGE(Tabela_2[[#All],[Coluna39]])</f>
        <v>#DIV/0!</v>
      </c>
      <c r="CO2" s="5" t="e">
        <f>AVERAGE(Tabela_2[[#All],[Coluna40]])</f>
        <v>#DIV/0!</v>
      </c>
    </row>
    <row r="3" spans="1:629" x14ac:dyDescent="0.25">
      <c r="M3">
        <v>1</v>
      </c>
      <c r="N3">
        <v>2</v>
      </c>
      <c r="W3">
        <v>2</v>
      </c>
      <c r="X3">
        <v>3</v>
      </c>
      <c r="AG3">
        <v>3</v>
      </c>
      <c r="AH3">
        <v>4</v>
      </c>
      <c r="AQ3">
        <v>4</v>
      </c>
      <c r="AR3">
        <v>5</v>
      </c>
      <c r="BA3">
        <v>5</v>
      </c>
      <c r="BB3">
        <v>6</v>
      </c>
      <c r="BK3">
        <v>6</v>
      </c>
      <c r="BL3">
        <v>7</v>
      </c>
      <c r="BU3">
        <v>7</v>
      </c>
      <c r="BV3">
        <v>8</v>
      </c>
      <c r="CE3">
        <v>8</v>
      </c>
      <c r="CF3">
        <v>9</v>
      </c>
      <c r="CO3">
        <v>9</v>
      </c>
    </row>
    <row r="4" spans="1:629" s="9" customFormat="1" ht="77.099999999999994" customHeight="1" x14ac:dyDescent="0.25">
      <c r="A4" s="147" t="s">
        <v>0</v>
      </c>
      <c r="B4" s="148" t="s">
        <v>1</v>
      </c>
      <c r="C4" s="148" t="s">
        <v>2</v>
      </c>
      <c r="D4" s="149" t="s">
        <v>244</v>
      </c>
      <c r="E4" s="149" t="s">
        <v>245</v>
      </c>
      <c r="F4" s="149" t="s">
        <v>246</v>
      </c>
      <c r="G4" s="149" t="s">
        <v>247</v>
      </c>
      <c r="H4" s="149" t="s">
        <v>248</v>
      </c>
      <c r="I4" s="149" t="s">
        <v>249</v>
      </c>
      <c r="J4" s="149" t="s">
        <v>250</v>
      </c>
      <c r="K4" s="149" t="s">
        <v>251</v>
      </c>
      <c r="L4" s="149" t="s">
        <v>252</v>
      </c>
      <c r="M4" s="149" t="s">
        <v>253</v>
      </c>
      <c r="N4" s="149" t="s">
        <v>254</v>
      </c>
      <c r="O4" s="149" t="s">
        <v>255</v>
      </c>
      <c r="P4" s="149" t="s">
        <v>256</v>
      </c>
      <c r="Q4" s="149" t="s">
        <v>257</v>
      </c>
      <c r="R4" s="149" t="s">
        <v>258</v>
      </c>
      <c r="S4" s="149" t="s">
        <v>259</v>
      </c>
      <c r="T4" s="149" t="s">
        <v>260</v>
      </c>
      <c r="U4" s="149" t="s">
        <v>261</v>
      </c>
      <c r="V4" s="149" t="s">
        <v>262</v>
      </c>
      <c r="W4" s="149" t="s">
        <v>263</v>
      </c>
      <c r="X4" s="149" t="s">
        <v>264</v>
      </c>
      <c r="Y4" s="149" t="s">
        <v>265</v>
      </c>
      <c r="Z4" s="149" t="s">
        <v>266</v>
      </c>
      <c r="AA4" s="149" t="s">
        <v>267</v>
      </c>
      <c r="AB4" s="150" t="s">
        <v>268</v>
      </c>
      <c r="AC4" s="149" t="s">
        <v>269</v>
      </c>
      <c r="AD4" s="149" t="s">
        <v>270</v>
      </c>
      <c r="AE4" s="149" t="s">
        <v>271</v>
      </c>
      <c r="AF4" s="149" t="s">
        <v>272</v>
      </c>
      <c r="AG4" s="150" t="s">
        <v>273</v>
      </c>
      <c r="AH4" s="149" t="s">
        <v>274</v>
      </c>
      <c r="AI4" s="149" t="s">
        <v>275</v>
      </c>
      <c r="AJ4" s="149" t="s">
        <v>276</v>
      </c>
      <c r="AK4" s="149" t="s">
        <v>277</v>
      </c>
      <c r="AL4" s="149" t="s">
        <v>278</v>
      </c>
      <c r="AM4" s="149" t="s">
        <v>279</v>
      </c>
      <c r="AN4" s="149" t="s">
        <v>280</v>
      </c>
      <c r="AO4" s="149" t="s">
        <v>281</v>
      </c>
      <c r="AP4" s="149" t="s">
        <v>282</v>
      </c>
      <c r="AQ4" s="149" t="s">
        <v>283</v>
      </c>
      <c r="AR4" s="149" t="s">
        <v>284</v>
      </c>
      <c r="AS4" s="149" t="s">
        <v>285</v>
      </c>
      <c r="AT4" s="149" t="s">
        <v>286</v>
      </c>
      <c r="AU4" s="149" t="s">
        <v>287</v>
      </c>
      <c r="AV4" s="149" t="s">
        <v>288</v>
      </c>
      <c r="AW4" s="149" t="s">
        <v>289</v>
      </c>
      <c r="AX4" s="149" t="s">
        <v>290</v>
      </c>
      <c r="AY4" s="149" t="s">
        <v>291</v>
      </c>
      <c r="AZ4" s="149" t="s">
        <v>292</v>
      </c>
      <c r="BA4" s="150" t="s">
        <v>293</v>
      </c>
      <c r="BB4" s="111" t="s">
        <v>237</v>
      </c>
      <c r="BC4" s="111" t="s">
        <v>238</v>
      </c>
      <c r="BD4" s="111" t="s">
        <v>239</v>
      </c>
      <c r="BE4" s="111" t="s">
        <v>240</v>
      </c>
      <c r="BF4" s="111" t="s">
        <v>241</v>
      </c>
      <c r="BG4" s="111" t="s">
        <v>294</v>
      </c>
      <c r="BH4" s="111" t="s">
        <v>295</v>
      </c>
      <c r="BI4" s="111" t="s">
        <v>296</v>
      </c>
      <c r="BJ4" s="111" t="s">
        <v>297</v>
      </c>
      <c r="BK4" s="111" t="s">
        <v>298</v>
      </c>
      <c r="BL4" s="111" t="s">
        <v>299</v>
      </c>
      <c r="BM4" s="111" t="s">
        <v>300</v>
      </c>
      <c r="BN4" s="111" t="s">
        <v>301</v>
      </c>
      <c r="BO4" s="111" t="s">
        <v>302</v>
      </c>
      <c r="BP4" s="111" t="s">
        <v>303</v>
      </c>
      <c r="BQ4" s="111" t="s">
        <v>304</v>
      </c>
      <c r="BR4" s="111" t="s">
        <v>305</v>
      </c>
      <c r="BS4" s="111" t="s">
        <v>306</v>
      </c>
      <c r="BT4" s="111" t="s">
        <v>307</v>
      </c>
      <c r="BU4" s="111" t="s">
        <v>308</v>
      </c>
      <c r="BV4" s="111" t="s">
        <v>309</v>
      </c>
      <c r="BW4" s="111" t="s">
        <v>310</v>
      </c>
      <c r="BX4" s="111" t="s">
        <v>311</v>
      </c>
      <c r="BY4" s="111" t="s">
        <v>312</v>
      </c>
      <c r="BZ4" s="111" t="s">
        <v>313</v>
      </c>
      <c r="CA4" s="111" t="s">
        <v>314</v>
      </c>
      <c r="CB4" s="111" t="s">
        <v>315</v>
      </c>
      <c r="CC4" s="111" t="s">
        <v>316</v>
      </c>
      <c r="CD4" s="111" t="s">
        <v>317</v>
      </c>
      <c r="CE4" s="111" t="s">
        <v>318</v>
      </c>
      <c r="CF4" s="111" t="s">
        <v>319</v>
      </c>
      <c r="CG4" s="111" t="s">
        <v>320</v>
      </c>
      <c r="CH4" s="111" t="s">
        <v>321</v>
      </c>
      <c r="CI4" s="111" t="s">
        <v>322</v>
      </c>
      <c r="CJ4" s="111" t="s">
        <v>323</v>
      </c>
      <c r="CK4" s="111" t="s">
        <v>324</v>
      </c>
      <c r="CL4" s="111" t="s">
        <v>325</v>
      </c>
      <c r="CM4" s="111" t="s">
        <v>326</v>
      </c>
      <c r="CN4" s="111" t="s">
        <v>327</v>
      </c>
      <c r="CO4" s="112" t="s">
        <v>328</v>
      </c>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c r="ED4" s="113"/>
      <c r="EE4" s="113"/>
      <c r="EF4" s="113"/>
      <c r="EG4" s="113"/>
      <c r="EH4" s="113"/>
      <c r="EI4" s="113"/>
      <c r="EJ4" s="113"/>
      <c r="EK4" s="113"/>
      <c r="EL4" s="113"/>
      <c r="EM4" s="113"/>
      <c r="EN4" s="113"/>
      <c r="EO4" s="113"/>
      <c r="EP4" s="113"/>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3"/>
      <c r="FP4" s="113"/>
      <c r="FQ4" s="113"/>
      <c r="FR4" s="113"/>
      <c r="FS4" s="113"/>
      <c r="FT4" s="113"/>
      <c r="FU4" s="113"/>
      <c r="FV4" s="113"/>
      <c r="FW4" s="113"/>
      <c r="FX4" s="113"/>
      <c r="FY4" s="113"/>
      <c r="FZ4" s="113"/>
      <c r="GA4" s="113"/>
      <c r="GB4" s="113"/>
      <c r="GC4" s="113"/>
      <c r="GD4" s="113"/>
      <c r="GE4" s="113"/>
      <c r="GF4" s="113"/>
      <c r="GG4" s="113"/>
      <c r="GH4" s="113"/>
      <c r="GI4" s="113"/>
      <c r="GJ4" s="113"/>
      <c r="GK4" s="113"/>
      <c r="GL4" s="113"/>
      <c r="GM4" s="113"/>
      <c r="GN4" s="113"/>
      <c r="GO4" s="113"/>
      <c r="GP4" s="113"/>
      <c r="GQ4" s="113"/>
      <c r="GR4" s="113"/>
      <c r="GS4" s="113"/>
      <c r="GT4" s="113"/>
      <c r="GU4" s="113"/>
      <c r="GV4" s="113"/>
      <c r="GW4" s="113"/>
      <c r="GX4" s="113"/>
      <c r="GY4" s="113"/>
      <c r="GZ4" s="113"/>
      <c r="HA4" s="113"/>
      <c r="HB4" s="113"/>
      <c r="HC4" s="113"/>
      <c r="HD4" s="113"/>
      <c r="HE4" s="113"/>
      <c r="HF4" s="113"/>
      <c r="HG4" s="113"/>
      <c r="HH4" s="113"/>
      <c r="HI4" s="113"/>
      <c r="HJ4" s="113"/>
      <c r="HK4" s="113"/>
      <c r="HL4" s="113"/>
      <c r="HM4" s="113"/>
      <c r="HN4" s="113"/>
      <c r="HO4" s="113"/>
      <c r="HP4" s="113"/>
      <c r="HQ4" s="113"/>
      <c r="HR4" s="113"/>
      <c r="HS4" s="113"/>
      <c r="HT4" s="113"/>
      <c r="HU4" s="113"/>
      <c r="HV4" s="113"/>
      <c r="HW4" s="113"/>
      <c r="HX4" s="113"/>
      <c r="HY4" s="113"/>
      <c r="HZ4" s="113"/>
      <c r="IA4" s="113"/>
      <c r="IB4" s="113"/>
      <c r="IC4" s="113"/>
      <c r="ID4" s="113"/>
      <c r="IE4" s="113"/>
      <c r="IF4" s="113"/>
      <c r="IG4" s="113"/>
      <c r="IH4" s="113"/>
      <c r="II4" s="113"/>
      <c r="IJ4" s="113"/>
      <c r="IK4" s="113"/>
      <c r="IL4" s="113"/>
      <c r="IM4" s="113"/>
      <c r="IN4" s="113"/>
      <c r="IO4" s="113"/>
      <c r="IP4" s="113"/>
      <c r="IQ4" s="113"/>
      <c r="IR4" s="113"/>
      <c r="IS4" s="113"/>
      <c r="IT4" s="113"/>
      <c r="IU4" s="113"/>
      <c r="IV4" s="113"/>
      <c r="IW4" s="113"/>
      <c r="IX4" s="113"/>
      <c r="IY4" s="113"/>
      <c r="IZ4" s="113"/>
      <c r="JA4" s="113"/>
      <c r="JB4" s="113"/>
      <c r="JC4" s="113"/>
      <c r="JD4" s="113"/>
      <c r="JE4" s="113"/>
      <c r="JF4" s="113"/>
      <c r="JG4" s="113"/>
      <c r="JH4" s="113"/>
      <c r="JI4" s="113"/>
      <c r="JJ4" s="113"/>
      <c r="JK4" s="113"/>
      <c r="JL4" s="113"/>
      <c r="JM4" s="113"/>
      <c r="JN4" s="113"/>
      <c r="JO4" s="113"/>
      <c r="JP4" s="113"/>
      <c r="JQ4" s="113"/>
      <c r="JR4" s="113"/>
      <c r="JS4" s="113"/>
      <c r="JT4" s="113"/>
      <c r="JU4" s="113"/>
      <c r="JV4" s="113"/>
      <c r="JW4" s="113"/>
      <c r="JX4" s="113"/>
      <c r="JY4" s="113"/>
      <c r="JZ4" s="113"/>
      <c r="KA4" s="113"/>
      <c r="KB4" s="113"/>
      <c r="KC4" s="113"/>
      <c r="KD4" s="113"/>
      <c r="KE4" s="113"/>
      <c r="KF4" s="113"/>
      <c r="KG4" s="113"/>
      <c r="KH4" s="113"/>
      <c r="KI4" s="113"/>
      <c r="KJ4" s="113"/>
      <c r="KK4" s="113"/>
      <c r="KL4" s="113"/>
      <c r="KM4" s="113"/>
      <c r="KN4" s="113"/>
      <c r="KO4" s="113"/>
      <c r="KP4" s="113"/>
      <c r="KQ4" s="113"/>
      <c r="KR4" s="113"/>
      <c r="KS4" s="113"/>
      <c r="KT4" s="113"/>
      <c r="KU4" s="113"/>
      <c r="KV4" s="113"/>
      <c r="KW4" s="113"/>
      <c r="KX4" s="113"/>
      <c r="KY4" s="113"/>
      <c r="KZ4" s="113"/>
      <c r="LA4" s="113"/>
      <c r="LB4" s="113"/>
      <c r="LC4" s="113"/>
      <c r="LD4" s="113"/>
      <c r="LE4" s="113"/>
      <c r="LF4" s="113"/>
      <c r="LG4" s="113"/>
      <c r="LH4" s="113"/>
      <c r="LI4" s="113"/>
      <c r="LJ4" s="113"/>
      <c r="LK4" s="113"/>
      <c r="LL4" s="113"/>
      <c r="LM4" s="113"/>
      <c r="LN4" s="113"/>
      <c r="LO4" s="113"/>
      <c r="LP4" s="113"/>
      <c r="LQ4" s="113"/>
      <c r="LR4" s="113"/>
      <c r="LS4" s="113"/>
      <c r="LT4" s="113"/>
      <c r="LU4" s="113"/>
      <c r="LV4" s="113"/>
      <c r="LW4" s="113"/>
      <c r="LX4" s="113"/>
      <c r="LY4" s="113"/>
      <c r="LZ4" s="113"/>
      <c r="MA4" s="113"/>
      <c r="MB4" s="113"/>
      <c r="MC4" s="113"/>
      <c r="MD4" s="113"/>
      <c r="ME4" s="113"/>
      <c r="MF4" s="113"/>
      <c r="MG4" s="113"/>
      <c r="MH4" s="113"/>
      <c r="MI4" s="113"/>
      <c r="MJ4" s="113"/>
      <c r="MK4" s="113"/>
      <c r="ML4" s="113"/>
      <c r="MM4" s="113"/>
      <c r="MN4" s="113"/>
      <c r="MO4" s="113"/>
      <c r="MP4" s="113"/>
      <c r="MQ4" s="113"/>
      <c r="MR4" s="113"/>
      <c r="MS4" s="113"/>
      <c r="MT4" s="113"/>
      <c r="MU4" s="113"/>
      <c r="MV4" s="113"/>
      <c r="MW4" s="113"/>
      <c r="MX4" s="113"/>
      <c r="MY4" s="113"/>
      <c r="MZ4" s="113"/>
      <c r="NA4" s="113"/>
      <c r="NB4" s="113"/>
      <c r="NC4" s="113"/>
      <c r="ND4" s="113"/>
      <c r="NE4" s="113"/>
      <c r="NF4" s="113"/>
      <c r="NG4" s="113"/>
      <c r="NH4" s="113"/>
      <c r="NI4" s="113"/>
      <c r="NJ4" s="113"/>
      <c r="NK4" s="113"/>
      <c r="NL4" s="113"/>
      <c r="NM4" s="113"/>
      <c r="NN4" s="113"/>
      <c r="NO4" s="113"/>
      <c r="NP4" s="113"/>
      <c r="NQ4" s="113"/>
      <c r="NR4" s="113"/>
      <c r="NS4" s="113"/>
      <c r="NT4" s="113"/>
      <c r="NU4" s="113"/>
      <c r="NV4" s="113"/>
      <c r="NW4" s="113"/>
      <c r="NX4" s="113"/>
      <c r="NY4" s="113"/>
      <c r="NZ4" s="113"/>
      <c r="OA4" s="113"/>
      <c r="OB4" s="113"/>
      <c r="OC4" s="113"/>
      <c r="OD4" s="113"/>
      <c r="OE4" s="113"/>
      <c r="OF4" s="113"/>
      <c r="OG4" s="113"/>
      <c r="OH4" s="113"/>
      <c r="OI4" s="113"/>
      <c r="OJ4" s="113"/>
      <c r="OK4" s="113"/>
      <c r="OL4" s="113"/>
      <c r="OM4" s="113"/>
      <c r="ON4" s="113"/>
      <c r="OO4" s="113"/>
      <c r="OP4" s="113"/>
      <c r="OQ4" s="113"/>
      <c r="OR4" s="113"/>
      <c r="OS4" s="113"/>
      <c r="OT4" s="113"/>
      <c r="OU4" s="113"/>
      <c r="OV4" s="113"/>
      <c r="OW4" s="113"/>
      <c r="OX4" s="113"/>
      <c r="OY4" s="113"/>
      <c r="OZ4" s="113"/>
      <c r="PA4" s="113"/>
      <c r="PB4" s="113"/>
      <c r="PC4" s="113"/>
      <c r="PD4" s="113"/>
      <c r="PE4" s="113"/>
      <c r="PF4" s="113"/>
      <c r="PG4" s="113"/>
      <c r="PH4" s="113"/>
      <c r="PI4" s="113"/>
      <c r="PJ4" s="113"/>
      <c r="PK4" s="113"/>
      <c r="PL4" s="113"/>
      <c r="PM4" s="113"/>
      <c r="PN4" s="113"/>
      <c r="PO4" s="113"/>
      <c r="PP4" s="113"/>
      <c r="PQ4" s="113"/>
      <c r="PR4" s="113"/>
      <c r="PS4" s="113"/>
      <c r="PT4" s="113"/>
      <c r="PU4" s="113"/>
      <c r="PV4" s="113"/>
      <c r="PW4" s="113"/>
      <c r="PX4" s="113"/>
      <c r="PY4" s="113"/>
      <c r="PZ4" s="113"/>
      <c r="QA4" s="113"/>
      <c r="QB4" s="113"/>
      <c r="QC4" s="113"/>
      <c r="QD4" s="113"/>
      <c r="QE4" s="113"/>
      <c r="QF4" s="113"/>
      <c r="QG4" s="113"/>
      <c r="QH4" s="113"/>
      <c r="QI4" s="113"/>
      <c r="QJ4" s="113"/>
      <c r="QK4" s="113"/>
      <c r="QL4" s="113"/>
      <c r="QM4" s="113"/>
      <c r="QN4" s="113"/>
      <c r="QO4" s="113"/>
      <c r="QP4" s="113"/>
      <c r="QQ4" s="113"/>
      <c r="QR4" s="113"/>
      <c r="QS4" s="113"/>
      <c r="QT4" s="113"/>
      <c r="QU4" s="113"/>
      <c r="QV4" s="113"/>
      <c r="QW4" s="113"/>
      <c r="QX4" s="113"/>
      <c r="QY4" s="113"/>
      <c r="QZ4" s="113"/>
      <c r="RA4" s="113"/>
      <c r="RB4" s="113"/>
      <c r="RC4" s="113"/>
      <c r="RD4" s="113"/>
      <c r="RE4" s="113"/>
      <c r="RF4" s="113"/>
      <c r="RG4" s="113"/>
      <c r="RH4" s="113"/>
      <c r="RI4" s="113"/>
      <c r="RJ4" s="113"/>
      <c r="RK4" s="113"/>
      <c r="RL4" s="113"/>
      <c r="RM4" s="113"/>
      <c r="RN4" s="113"/>
      <c r="RO4" s="113"/>
      <c r="RP4" s="113"/>
      <c r="RQ4" s="113"/>
      <c r="RR4" s="113"/>
      <c r="RS4" s="113"/>
      <c r="RT4" s="113"/>
      <c r="RU4" s="113"/>
      <c r="RV4" s="113"/>
      <c r="RW4" s="113"/>
      <c r="RX4" s="113"/>
      <c r="RY4" s="113"/>
      <c r="RZ4" s="113"/>
      <c r="SA4" s="113"/>
      <c r="SB4" s="113"/>
      <c r="SC4" s="113"/>
      <c r="SD4" s="113"/>
      <c r="SE4" s="113"/>
      <c r="SF4" s="113"/>
      <c r="SG4" s="113"/>
      <c r="SH4" s="113"/>
      <c r="SI4" s="113"/>
      <c r="SJ4" s="113"/>
      <c r="SK4" s="113"/>
      <c r="SL4" s="113"/>
      <c r="SM4" s="113"/>
      <c r="SN4" s="113"/>
      <c r="SO4" s="113"/>
      <c r="SP4" s="113"/>
      <c r="SQ4" s="113"/>
      <c r="SR4" s="113"/>
      <c r="SS4" s="113"/>
      <c r="ST4" s="113"/>
      <c r="SU4" s="113"/>
      <c r="SV4" s="113"/>
      <c r="SW4" s="113"/>
      <c r="SX4" s="113"/>
      <c r="SY4" s="113"/>
      <c r="SZ4" s="113"/>
      <c r="TA4" s="113"/>
      <c r="TB4" s="113"/>
      <c r="TC4" s="113"/>
      <c r="TD4" s="113"/>
      <c r="TE4" s="113"/>
      <c r="TF4" s="113"/>
      <c r="TG4" s="113"/>
      <c r="TH4" s="113"/>
      <c r="TI4" s="113"/>
      <c r="TJ4" s="113"/>
      <c r="TK4" s="113"/>
      <c r="TL4" s="113"/>
      <c r="TM4" s="113"/>
      <c r="TN4" s="113"/>
      <c r="TO4" s="113"/>
      <c r="TP4" s="113"/>
      <c r="TQ4" s="113"/>
      <c r="TR4" s="113"/>
      <c r="TS4" s="113"/>
      <c r="TT4" s="113"/>
      <c r="TU4" s="113"/>
      <c r="TV4" s="113"/>
      <c r="TW4" s="113"/>
      <c r="TX4" s="113"/>
      <c r="TY4" s="113"/>
      <c r="TZ4" s="113"/>
      <c r="UA4" s="113"/>
      <c r="UB4" s="113"/>
      <c r="UC4" s="113"/>
      <c r="UD4" s="113"/>
      <c r="UE4" s="113"/>
      <c r="UF4" s="113"/>
      <c r="UG4" s="113"/>
      <c r="UH4" s="113"/>
      <c r="UI4" s="113"/>
      <c r="UJ4" s="113"/>
      <c r="UK4" s="113"/>
      <c r="UL4" s="113"/>
      <c r="UM4" s="113"/>
      <c r="UN4" s="113"/>
      <c r="UO4" s="113"/>
      <c r="UP4" s="113"/>
      <c r="UQ4" s="113"/>
      <c r="UR4" s="113"/>
      <c r="US4" s="113"/>
      <c r="UT4" s="113"/>
      <c r="UU4" s="113"/>
      <c r="UV4" s="113"/>
      <c r="UW4" s="113"/>
      <c r="UX4" s="113"/>
      <c r="UY4" s="113"/>
      <c r="UZ4" s="113"/>
      <c r="VA4" s="113"/>
      <c r="VB4" s="113"/>
      <c r="VC4" s="113"/>
      <c r="VD4" s="113"/>
      <c r="VE4" s="113"/>
      <c r="VF4" s="113"/>
      <c r="VG4" s="113"/>
      <c r="VH4" s="113"/>
      <c r="VI4" s="113"/>
      <c r="VJ4" s="113"/>
      <c r="VK4" s="113"/>
      <c r="VL4" s="113"/>
      <c r="VM4" s="113"/>
      <c r="VN4" s="113"/>
      <c r="VO4" s="113"/>
      <c r="VP4" s="113"/>
      <c r="VQ4" s="113"/>
      <c r="VR4" s="113"/>
      <c r="VS4" s="113"/>
      <c r="VT4" s="113"/>
      <c r="VU4" s="113"/>
      <c r="VV4" s="113"/>
      <c r="VW4" s="113"/>
      <c r="VX4" s="113"/>
      <c r="VY4" s="113"/>
      <c r="VZ4" s="113"/>
      <c r="WA4" s="113"/>
      <c r="WB4" s="113"/>
      <c r="WC4" s="113"/>
      <c r="WD4" s="113"/>
      <c r="WE4" s="113"/>
      <c r="WF4" s="113"/>
      <c r="WG4" s="113"/>
      <c r="WH4" s="113"/>
      <c r="WI4" s="113"/>
      <c r="WJ4" s="113"/>
      <c r="WK4" s="113"/>
      <c r="WL4" s="113"/>
      <c r="WM4" s="113"/>
      <c r="WN4" s="113"/>
      <c r="WO4" s="113"/>
      <c r="WP4" s="113"/>
      <c r="WQ4" s="113"/>
      <c r="WR4" s="113"/>
      <c r="WS4" s="113"/>
      <c r="WT4" s="113"/>
      <c r="WU4" s="113"/>
      <c r="WV4" s="113"/>
      <c r="WW4" s="113"/>
      <c r="WX4" s="113"/>
      <c r="WY4" s="113"/>
      <c r="WZ4" s="113"/>
      <c r="XA4" s="113"/>
      <c r="XB4" s="113"/>
      <c r="XC4" s="113"/>
      <c r="XD4" s="113"/>
      <c r="XE4" s="113"/>
    </row>
    <row r="5" spans="1:629" ht="13.5" customHeight="1" x14ac:dyDescent="0.25">
      <c r="A5" s="61"/>
      <c r="B5" s="62"/>
      <c r="C5" s="62"/>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3"/>
    </row>
    <row r="6" spans="1:629" x14ac:dyDescent="0.25">
      <c r="A6" s="64"/>
      <c r="B6" s="65"/>
      <c r="C6" s="62"/>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6"/>
    </row>
    <row r="7" spans="1:629" x14ac:dyDescent="0.25">
      <c r="A7" s="61"/>
      <c r="B7" s="62"/>
      <c r="C7" s="62"/>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3"/>
    </row>
    <row r="8" spans="1:629" x14ac:dyDescent="0.25">
      <c r="A8" s="64"/>
      <c r="B8" s="65"/>
      <c r="C8" s="62"/>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6"/>
    </row>
    <row r="9" spans="1:629" x14ac:dyDescent="0.25">
      <c r="A9" s="61"/>
      <c r="B9" s="62"/>
      <c r="C9" s="62"/>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3"/>
    </row>
    <row r="10" spans="1:629" x14ac:dyDescent="0.25">
      <c r="A10" s="64"/>
      <c r="B10" s="65"/>
      <c r="C10" s="62"/>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6"/>
    </row>
    <row r="11" spans="1:629" x14ac:dyDescent="0.25">
      <c r="A11" s="61"/>
      <c r="B11" s="62"/>
      <c r="C11" s="62"/>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3"/>
    </row>
    <row r="12" spans="1:629" x14ac:dyDescent="0.25">
      <c r="A12" s="64"/>
      <c r="B12" s="65"/>
      <c r="C12" s="62"/>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6"/>
    </row>
    <row r="13" spans="1:629" x14ac:dyDescent="0.25">
      <c r="A13" s="61"/>
      <c r="B13" s="62"/>
      <c r="C13" s="62"/>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3"/>
    </row>
    <row r="14" spans="1:629" x14ac:dyDescent="0.25">
      <c r="A14" s="64"/>
      <c r="B14" s="65"/>
      <c r="C14" s="62"/>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6"/>
    </row>
    <row r="15" spans="1:629" x14ac:dyDescent="0.25">
      <c r="A15" s="61"/>
      <c r="B15" s="62"/>
      <c r="C15" s="62"/>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3"/>
    </row>
    <row r="16" spans="1:629" x14ac:dyDescent="0.25">
      <c r="A16" s="64"/>
      <c r="B16" s="65"/>
      <c r="C16" s="62"/>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6"/>
    </row>
    <row r="17" spans="1:93" x14ac:dyDescent="0.25">
      <c r="A17" s="61"/>
      <c r="B17" s="62"/>
      <c r="C17" s="62"/>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3"/>
    </row>
    <row r="18" spans="1:93" x14ac:dyDescent="0.25">
      <c r="A18" s="64"/>
      <c r="B18" s="65"/>
      <c r="C18" s="62"/>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6"/>
    </row>
    <row r="19" spans="1:93" x14ac:dyDescent="0.25">
      <c r="A19" s="61"/>
      <c r="B19" s="62"/>
      <c r="C19" s="62"/>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3"/>
    </row>
    <row r="20" spans="1:93" x14ac:dyDescent="0.25">
      <c r="A20" s="64"/>
      <c r="B20" s="65"/>
      <c r="C20" s="62"/>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6"/>
    </row>
    <row r="21" spans="1:93" x14ac:dyDescent="0.25">
      <c r="A21" s="61"/>
      <c r="B21" s="62"/>
      <c r="C21" s="62"/>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3"/>
    </row>
    <row r="22" spans="1:93" x14ac:dyDescent="0.25">
      <c r="A22" s="64"/>
      <c r="B22" s="65"/>
      <c r="C22" s="62"/>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6"/>
    </row>
    <row r="23" spans="1:93" x14ac:dyDescent="0.25">
      <c r="A23" s="61"/>
      <c r="B23" s="62"/>
      <c r="C23" s="62"/>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3"/>
    </row>
    <row r="24" spans="1:93" x14ac:dyDescent="0.25">
      <c r="A24" s="64"/>
      <c r="B24" s="65"/>
      <c r="C24" s="62"/>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6"/>
    </row>
    <row r="25" spans="1:93" x14ac:dyDescent="0.25">
      <c r="A25" s="61"/>
      <c r="B25" s="62"/>
      <c r="C25" s="62"/>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3"/>
    </row>
    <row r="26" spans="1:93" x14ac:dyDescent="0.25">
      <c r="A26" s="64"/>
      <c r="B26" s="65"/>
      <c r="C26" s="62"/>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6"/>
    </row>
    <row r="27" spans="1:93" x14ac:dyDescent="0.25">
      <c r="A27" s="61"/>
      <c r="B27" s="62"/>
      <c r="C27" s="62"/>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3"/>
    </row>
    <row r="28" spans="1:93" x14ac:dyDescent="0.25">
      <c r="A28" s="64"/>
      <c r="B28" s="65"/>
      <c r="C28" s="62"/>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6"/>
    </row>
    <row r="29" spans="1:93" x14ac:dyDescent="0.25">
      <c r="A29" s="61"/>
      <c r="B29" s="62"/>
      <c r="C29" s="62"/>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3"/>
    </row>
    <row r="30" spans="1:93" x14ac:dyDescent="0.25">
      <c r="A30" s="64"/>
      <c r="B30" s="65"/>
      <c r="C30" s="62"/>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6"/>
    </row>
    <row r="31" spans="1:93" x14ac:dyDescent="0.25">
      <c r="A31" s="61"/>
      <c r="B31" s="62"/>
      <c r="C31" s="62"/>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3"/>
    </row>
    <row r="32" spans="1:93" x14ac:dyDescent="0.25">
      <c r="A32" s="64"/>
      <c r="B32" s="65"/>
      <c r="C32" s="62"/>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6"/>
    </row>
    <row r="33" spans="1:93" x14ac:dyDescent="0.25">
      <c r="A33" s="61"/>
      <c r="B33" s="62"/>
      <c r="C33" s="62"/>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3"/>
    </row>
    <row r="34" spans="1:93" x14ac:dyDescent="0.25">
      <c r="A34" s="64"/>
      <c r="B34" s="65"/>
      <c r="C34" s="62"/>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6"/>
    </row>
    <row r="35" spans="1:93" x14ac:dyDescent="0.25">
      <c r="A35" s="61"/>
      <c r="B35" s="62"/>
      <c r="C35" s="62"/>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3"/>
    </row>
    <row r="36" spans="1:93" x14ac:dyDescent="0.25">
      <c r="A36" s="64"/>
      <c r="B36" s="65"/>
      <c r="C36" s="62"/>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6"/>
    </row>
    <row r="37" spans="1:93" x14ac:dyDescent="0.25">
      <c r="A37" s="61"/>
      <c r="B37" s="62"/>
      <c r="C37" s="62"/>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3"/>
    </row>
    <row r="38" spans="1:93" x14ac:dyDescent="0.25">
      <c r="A38" s="64"/>
      <c r="B38" s="65"/>
      <c r="C38" s="62"/>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6"/>
    </row>
    <row r="39" spans="1:93" x14ac:dyDescent="0.25">
      <c r="A39" s="61"/>
      <c r="B39" s="62"/>
      <c r="C39" s="62"/>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3"/>
    </row>
    <row r="40" spans="1:93" x14ac:dyDescent="0.25">
      <c r="A40" s="64"/>
      <c r="B40" s="65"/>
      <c r="C40" s="62"/>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6"/>
    </row>
    <row r="41" spans="1:93" x14ac:dyDescent="0.25">
      <c r="A41" s="61"/>
      <c r="B41" s="62"/>
      <c r="C41" s="62"/>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3"/>
    </row>
    <row r="42" spans="1:93" x14ac:dyDescent="0.25">
      <c r="A42" s="64"/>
      <c r="B42" s="65"/>
      <c r="C42" s="62"/>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6"/>
    </row>
    <row r="43" spans="1:93" x14ac:dyDescent="0.25">
      <c r="A43" s="61"/>
      <c r="B43" s="62"/>
      <c r="C43" s="62"/>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3"/>
    </row>
    <row r="44" spans="1:93" x14ac:dyDescent="0.25">
      <c r="A44" s="64"/>
      <c r="B44" s="65"/>
      <c r="C44" s="62"/>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5"/>
      <c r="CE44" s="65"/>
      <c r="CF44" s="65"/>
      <c r="CG44" s="65"/>
      <c r="CH44" s="65"/>
      <c r="CI44" s="65"/>
      <c r="CJ44" s="65"/>
      <c r="CK44" s="65"/>
      <c r="CL44" s="65"/>
      <c r="CM44" s="65"/>
      <c r="CN44" s="65"/>
      <c r="CO44" s="66"/>
    </row>
    <row r="45" spans="1:93" x14ac:dyDescent="0.25">
      <c r="A45" s="61"/>
      <c r="B45" s="62"/>
      <c r="C45" s="62"/>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3"/>
    </row>
    <row r="46" spans="1:93" x14ac:dyDescent="0.25">
      <c r="A46" s="64"/>
      <c r="B46" s="65"/>
      <c r="C46" s="62"/>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6"/>
    </row>
    <row r="47" spans="1:93" x14ac:dyDescent="0.25">
      <c r="A47" s="61"/>
      <c r="B47" s="62"/>
      <c r="C47" s="62"/>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3"/>
    </row>
    <row r="48" spans="1:93" x14ac:dyDescent="0.25">
      <c r="A48" s="64"/>
      <c r="B48" s="65"/>
      <c r="C48" s="62"/>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6"/>
    </row>
    <row r="49" spans="1:93" x14ac:dyDescent="0.25">
      <c r="A49" s="61"/>
      <c r="B49" s="62"/>
      <c r="C49" s="62"/>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3"/>
    </row>
    <row r="50" spans="1:93" x14ac:dyDescent="0.25">
      <c r="A50" s="64"/>
      <c r="B50" s="65"/>
      <c r="C50" s="62"/>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6"/>
    </row>
    <row r="51" spans="1:93" x14ac:dyDescent="0.25">
      <c r="A51" s="61"/>
      <c r="B51" s="62"/>
      <c r="C51" s="62"/>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3"/>
    </row>
    <row r="52" spans="1:93" x14ac:dyDescent="0.25">
      <c r="A52" s="64"/>
      <c r="B52" s="65"/>
      <c r="C52" s="62"/>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6"/>
    </row>
    <row r="53" spans="1:93" x14ac:dyDescent="0.25">
      <c r="A53" s="61"/>
      <c r="B53" s="62"/>
      <c r="C53" s="62"/>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3"/>
    </row>
    <row r="54" spans="1:93" x14ac:dyDescent="0.25">
      <c r="A54" s="64"/>
      <c r="B54" s="65"/>
      <c r="C54" s="62"/>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6"/>
    </row>
    <row r="55" spans="1:93" x14ac:dyDescent="0.25">
      <c r="A55" s="61"/>
      <c r="B55" s="62"/>
      <c r="C55" s="62"/>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3"/>
    </row>
    <row r="56" spans="1:93" x14ac:dyDescent="0.25">
      <c r="A56" s="64"/>
      <c r="B56" s="65"/>
      <c r="C56" s="62"/>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6"/>
    </row>
    <row r="57" spans="1:93" x14ac:dyDescent="0.25">
      <c r="A57" s="61"/>
      <c r="B57" s="62"/>
      <c r="C57" s="62"/>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3"/>
    </row>
    <row r="58" spans="1:93" x14ac:dyDescent="0.25">
      <c r="A58" s="64"/>
      <c r="B58" s="65"/>
      <c r="C58" s="62"/>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6"/>
    </row>
    <row r="59" spans="1:93" x14ac:dyDescent="0.25">
      <c r="A59" s="61"/>
      <c r="B59" s="62"/>
      <c r="C59" s="62"/>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3"/>
    </row>
    <row r="60" spans="1:93" x14ac:dyDescent="0.25">
      <c r="A60" s="64"/>
      <c r="B60" s="65"/>
      <c r="C60" s="62"/>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6"/>
    </row>
    <row r="61" spans="1:93" x14ac:dyDescent="0.25">
      <c r="A61" s="61"/>
      <c r="B61" s="62"/>
      <c r="C61" s="62"/>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3"/>
    </row>
    <row r="62" spans="1:93" x14ac:dyDescent="0.25">
      <c r="A62" s="64"/>
      <c r="B62" s="65"/>
      <c r="C62" s="62"/>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6"/>
    </row>
    <row r="63" spans="1:93" x14ac:dyDescent="0.25">
      <c r="A63" s="61"/>
      <c r="B63" s="62"/>
      <c r="C63" s="62"/>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3"/>
    </row>
    <row r="64" spans="1:93" x14ac:dyDescent="0.25">
      <c r="A64" s="64"/>
      <c r="B64" s="65"/>
      <c r="C64" s="62"/>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6"/>
    </row>
    <row r="65" spans="1:93" x14ac:dyDescent="0.25">
      <c r="A65" s="61"/>
      <c r="B65" s="62"/>
      <c r="C65" s="62"/>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3"/>
    </row>
    <row r="66" spans="1:93" x14ac:dyDescent="0.25">
      <c r="A66" s="64"/>
      <c r="B66" s="65"/>
      <c r="C66" s="62"/>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6"/>
    </row>
    <row r="67" spans="1:93" x14ac:dyDescent="0.25">
      <c r="A67" s="61"/>
      <c r="B67" s="62"/>
      <c r="C67" s="62"/>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3"/>
    </row>
    <row r="68" spans="1:93" x14ac:dyDescent="0.25">
      <c r="A68" s="64"/>
      <c r="B68" s="65"/>
      <c r="C68" s="62"/>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6"/>
    </row>
    <row r="69" spans="1:93" x14ac:dyDescent="0.25">
      <c r="A69" s="61"/>
      <c r="B69" s="62"/>
      <c r="C69" s="62"/>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3"/>
    </row>
    <row r="70" spans="1:93" x14ac:dyDescent="0.25">
      <c r="A70" s="64"/>
      <c r="B70" s="65"/>
      <c r="C70" s="62"/>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6"/>
    </row>
    <row r="71" spans="1:93" x14ac:dyDescent="0.25">
      <c r="A71" s="61"/>
      <c r="B71" s="62"/>
      <c r="C71" s="62"/>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3"/>
    </row>
    <row r="72" spans="1:93" x14ac:dyDescent="0.25">
      <c r="A72" s="64"/>
      <c r="B72" s="65"/>
      <c r="C72" s="62"/>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6"/>
    </row>
    <row r="73" spans="1:93" x14ac:dyDescent="0.25">
      <c r="A73" s="61"/>
      <c r="B73" s="62"/>
      <c r="C73" s="62"/>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3"/>
    </row>
    <row r="74" spans="1:93" x14ac:dyDescent="0.25">
      <c r="A74" s="64"/>
      <c r="B74" s="65"/>
      <c r="C74" s="62"/>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c r="CD74" s="65"/>
      <c r="CE74" s="65"/>
      <c r="CF74" s="65"/>
      <c r="CG74" s="65"/>
      <c r="CH74" s="65"/>
      <c r="CI74" s="65"/>
      <c r="CJ74" s="65"/>
      <c r="CK74" s="65"/>
      <c r="CL74" s="65"/>
      <c r="CM74" s="65"/>
      <c r="CN74" s="65"/>
      <c r="CO74" s="66"/>
    </row>
    <row r="75" spans="1:93" x14ac:dyDescent="0.25">
      <c r="A75" s="61"/>
      <c r="B75" s="62"/>
      <c r="C75" s="62"/>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3"/>
    </row>
    <row r="76" spans="1:93" x14ac:dyDescent="0.25">
      <c r="A76" s="64"/>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6"/>
    </row>
    <row r="77" spans="1:93" x14ac:dyDescent="0.25">
      <c r="A77" s="61"/>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3"/>
    </row>
    <row r="78" spans="1:93" x14ac:dyDescent="0.25">
      <c r="A78" s="64"/>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6"/>
    </row>
    <row r="79" spans="1:93" x14ac:dyDescent="0.25">
      <c r="A79" s="61"/>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3"/>
    </row>
    <row r="80" spans="1:93" x14ac:dyDescent="0.25">
      <c r="A80" s="64"/>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6"/>
    </row>
    <row r="81" spans="1:93" x14ac:dyDescent="0.25">
      <c r="A81" s="61"/>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3"/>
    </row>
    <row r="82" spans="1:93" x14ac:dyDescent="0.25">
      <c r="A82" s="64"/>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6"/>
    </row>
    <row r="83" spans="1:93" x14ac:dyDescent="0.25">
      <c r="A83" s="61"/>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3"/>
    </row>
    <row r="84" spans="1:93" x14ac:dyDescent="0.25">
      <c r="A84" s="64"/>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6"/>
    </row>
    <row r="85" spans="1:93" x14ac:dyDescent="0.25">
      <c r="A85" s="61"/>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3"/>
    </row>
    <row r="86" spans="1:93" x14ac:dyDescent="0.25">
      <c r="A86" s="64"/>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6"/>
    </row>
    <row r="87" spans="1:93" x14ac:dyDescent="0.25">
      <c r="A87" s="61"/>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3"/>
    </row>
    <row r="88" spans="1:93" x14ac:dyDescent="0.25">
      <c r="A88" s="64"/>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6"/>
    </row>
    <row r="89" spans="1:93" x14ac:dyDescent="0.25">
      <c r="A89" s="61"/>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3"/>
    </row>
    <row r="90" spans="1:93" x14ac:dyDescent="0.25">
      <c r="A90" s="64"/>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6"/>
    </row>
    <row r="91" spans="1:93" x14ac:dyDescent="0.25">
      <c r="A91" s="61"/>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3"/>
    </row>
    <row r="92" spans="1:93" x14ac:dyDescent="0.25">
      <c r="A92" s="64"/>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6"/>
    </row>
    <row r="93" spans="1:93" x14ac:dyDescent="0.25">
      <c r="A93" s="61"/>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3"/>
    </row>
    <row r="94" spans="1:93" x14ac:dyDescent="0.25">
      <c r="A94" s="64"/>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6"/>
    </row>
    <row r="95" spans="1:93" x14ac:dyDescent="0.25">
      <c r="A95" s="61"/>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3"/>
    </row>
    <row r="96" spans="1:93" x14ac:dyDescent="0.25">
      <c r="A96" s="64"/>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6"/>
    </row>
    <row r="97" spans="1:93" x14ac:dyDescent="0.25">
      <c r="A97" s="61"/>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3"/>
    </row>
    <row r="98" spans="1:93" x14ac:dyDescent="0.25">
      <c r="A98" s="64"/>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6"/>
    </row>
    <row r="99" spans="1:93" x14ac:dyDescent="0.25">
      <c r="A99" s="61"/>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3"/>
    </row>
    <row r="100" spans="1:93" x14ac:dyDescent="0.25">
      <c r="A100" s="64"/>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6"/>
    </row>
    <row r="101" spans="1:93" x14ac:dyDescent="0.25">
      <c r="A101" s="61"/>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3"/>
    </row>
    <row r="102" spans="1:93" x14ac:dyDescent="0.25">
      <c r="A102" s="64"/>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6"/>
    </row>
    <row r="103" spans="1:93" x14ac:dyDescent="0.25">
      <c r="A103" s="61"/>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3"/>
    </row>
    <row r="104" spans="1:93" x14ac:dyDescent="0.25">
      <c r="A104" s="64"/>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6"/>
    </row>
    <row r="105" spans="1:93" x14ac:dyDescent="0.25">
      <c r="A105" s="61"/>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3"/>
    </row>
    <row r="106" spans="1:93" x14ac:dyDescent="0.25">
      <c r="A106" s="64"/>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c r="CD106" s="65"/>
      <c r="CE106" s="65"/>
      <c r="CF106" s="65"/>
      <c r="CG106" s="65"/>
      <c r="CH106" s="65"/>
      <c r="CI106" s="65"/>
      <c r="CJ106" s="65"/>
      <c r="CK106" s="65"/>
      <c r="CL106" s="65"/>
      <c r="CM106" s="65"/>
      <c r="CN106" s="65"/>
      <c r="CO106" s="66"/>
    </row>
    <row r="107" spans="1:93" x14ac:dyDescent="0.25">
      <c r="A107" s="67"/>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8"/>
      <c r="BZ107" s="68"/>
      <c r="CA107" s="68"/>
      <c r="CB107" s="68"/>
      <c r="CC107" s="68"/>
      <c r="CD107" s="68"/>
      <c r="CE107" s="68"/>
      <c r="CF107" s="68"/>
      <c r="CG107" s="68"/>
      <c r="CH107" s="68"/>
      <c r="CI107" s="68"/>
      <c r="CJ107" s="68"/>
      <c r="CK107" s="68"/>
      <c r="CL107" s="68"/>
      <c r="CM107" s="68"/>
      <c r="CN107" s="68"/>
      <c r="CO107" s="69"/>
    </row>
    <row r="108" spans="1:93" x14ac:dyDescent="0.25">
      <c r="A108" s="64"/>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c r="CD108" s="65"/>
      <c r="CE108" s="65"/>
      <c r="CF108" s="65"/>
      <c r="CG108" s="65"/>
      <c r="CH108" s="65"/>
      <c r="CI108" s="65"/>
      <c r="CJ108" s="65"/>
      <c r="CK108" s="65"/>
      <c r="CL108" s="65"/>
      <c r="CM108" s="65"/>
      <c r="CN108" s="65"/>
      <c r="CO108" s="66"/>
    </row>
    <row r="109" spans="1:93" x14ac:dyDescent="0.25">
      <c r="A109" s="61"/>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3"/>
    </row>
    <row r="110" spans="1:93" x14ac:dyDescent="0.25">
      <c r="A110" s="64"/>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6"/>
    </row>
    <row r="111" spans="1:93" x14ac:dyDescent="0.25">
      <c r="A111" s="61"/>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3"/>
    </row>
    <row r="112" spans="1:93" x14ac:dyDescent="0.25">
      <c r="A112" s="64"/>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6"/>
    </row>
    <row r="113" spans="1:93" x14ac:dyDescent="0.25">
      <c r="A113" s="61"/>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3"/>
    </row>
    <row r="114" spans="1:93" x14ac:dyDescent="0.25">
      <c r="A114" s="64"/>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6"/>
    </row>
    <row r="115" spans="1:93" x14ac:dyDescent="0.25">
      <c r="A115" s="61"/>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3"/>
    </row>
    <row r="116" spans="1:93" x14ac:dyDescent="0.25">
      <c r="A116" s="64"/>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c r="CD116" s="65"/>
      <c r="CE116" s="65"/>
      <c r="CF116" s="65"/>
      <c r="CG116" s="65"/>
      <c r="CH116" s="65"/>
      <c r="CI116" s="65"/>
      <c r="CJ116" s="65"/>
      <c r="CK116" s="65"/>
      <c r="CL116" s="65"/>
      <c r="CM116" s="65"/>
      <c r="CN116" s="65"/>
      <c r="CO116" s="66"/>
    </row>
    <row r="117" spans="1:93" x14ac:dyDescent="0.25">
      <c r="A117" s="6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3"/>
    </row>
    <row r="118" spans="1:93" x14ac:dyDescent="0.25">
      <c r="A118" s="64"/>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65"/>
      <c r="CH118" s="65"/>
      <c r="CI118" s="65"/>
      <c r="CJ118" s="65"/>
      <c r="CK118" s="65"/>
      <c r="CL118" s="65"/>
      <c r="CM118" s="65"/>
      <c r="CN118" s="65"/>
      <c r="CO118" s="66"/>
    </row>
    <row r="119" spans="1:93" x14ac:dyDescent="0.25">
      <c r="A119" s="61"/>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3"/>
    </row>
    <row r="120" spans="1:93" x14ac:dyDescent="0.25">
      <c r="A120" s="64"/>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6"/>
    </row>
    <row r="121" spans="1:93" x14ac:dyDescent="0.25">
      <c r="A121" s="61"/>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3"/>
    </row>
    <row r="122" spans="1:93" x14ac:dyDescent="0.25">
      <c r="A122" s="64"/>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6"/>
    </row>
    <row r="123" spans="1:93" x14ac:dyDescent="0.25">
      <c r="A123" s="61"/>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3"/>
    </row>
    <row r="124" spans="1:93" x14ac:dyDescent="0.25">
      <c r="A124" s="64"/>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5"/>
      <c r="CF124" s="65"/>
      <c r="CG124" s="65"/>
      <c r="CH124" s="65"/>
      <c r="CI124" s="65"/>
      <c r="CJ124" s="65"/>
      <c r="CK124" s="65"/>
      <c r="CL124" s="65"/>
      <c r="CM124" s="65"/>
      <c r="CN124" s="65"/>
      <c r="CO124" s="66"/>
    </row>
    <row r="125" spans="1:93" x14ac:dyDescent="0.25">
      <c r="A125" s="61"/>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3"/>
    </row>
    <row r="126" spans="1:93" x14ac:dyDescent="0.25">
      <c r="A126" s="64"/>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6"/>
    </row>
    <row r="127" spans="1:93" x14ac:dyDescent="0.25">
      <c r="A127" s="61"/>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3"/>
    </row>
    <row r="128" spans="1:93" x14ac:dyDescent="0.25">
      <c r="A128" s="64"/>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65"/>
      <c r="CH128" s="65"/>
      <c r="CI128" s="65"/>
      <c r="CJ128" s="65"/>
      <c r="CK128" s="65"/>
      <c r="CL128" s="65"/>
      <c r="CM128" s="65"/>
      <c r="CN128" s="65"/>
      <c r="CO128" s="66"/>
    </row>
    <row r="129" spans="1:93" x14ac:dyDescent="0.25">
      <c r="A129" s="61"/>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3"/>
    </row>
    <row r="130" spans="1:93" x14ac:dyDescent="0.25">
      <c r="A130" s="64"/>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6"/>
    </row>
    <row r="131" spans="1:93" x14ac:dyDescent="0.25">
      <c r="A131" s="61"/>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3"/>
    </row>
    <row r="132" spans="1:93" x14ac:dyDescent="0.25">
      <c r="A132" s="64"/>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6"/>
    </row>
    <row r="133" spans="1:93" x14ac:dyDescent="0.25">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3"/>
    </row>
    <row r="134" spans="1:93" x14ac:dyDescent="0.25">
      <c r="A134" s="64"/>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c r="CD134" s="65"/>
      <c r="CE134" s="65"/>
      <c r="CF134" s="65"/>
      <c r="CG134" s="65"/>
      <c r="CH134" s="65"/>
      <c r="CI134" s="65"/>
      <c r="CJ134" s="65"/>
      <c r="CK134" s="65"/>
      <c r="CL134" s="65"/>
      <c r="CM134" s="65"/>
      <c r="CN134" s="65"/>
      <c r="CO134" s="66"/>
    </row>
    <row r="135" spans="1:93" x14ac:dyDescent="0.25">
      <c r="A135" s="61"/>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3"/>
    </row>
    <row r="136" spans="1:93" x14ac:dyDescent="0.25">
      <c r="A136" s="64"/>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c r="CD136" s="65"/>
      <c r="CE136" s="65"/>
      <c r="CF136" s="65"/>
      <c r="CG136" s="65"/>
      <c r="CH136" s="65"/>
      <c r="CI136" s="65"/>
      <c r="CJ136" s="65"/>
      <c r="CK136" s="65"/>
      <c r="CL136" s="65"/>
      <c r="CM136" s="65"/>
      <c r="CN136" s="65"/>
      <c r="CO136" s="66"/>
    </row>
    <row r="137" spans="1:93" x14ac:dyDescent="0.25">
      <c r="A137" s="61"/>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3"/>
    </row>
    <row r="138" spans="1:93" x14ac:dyDescent="0.25">
      <c r="A138" s="64"/>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c r="CD138" s="65"/>
      <c r="CE138" s="65"/>
      <c r="CF138" s="65"/>
      <c r="CG138" s="65"/>
      <c r="CH138" s="65"/>
      <c r="CI138" s="65"/>
      <c r="CJ138" s="65"/>
      <c r="CK138" s="65"/>
      <c r="CL138" s="65"/>
      <c r="CM138" s="65"/>
      <c r="CN138" s="65"/>
      <c r="CO138" s="66"/>
    </row>
    <row r="139" spans="1:93" x14ac:dyDescent="0.25">
      <c r="A139" s="61"/>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3"/>
    </row>
    <row r="140" spans="1:93" x14ac:dyDescent="0.25">
      <c r="A140" s="64"/>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6"/>
    </row>
    <row r="141" spans="1:93" x14ac:dyDescent="0.25">
      <c r="A141" s="61"/>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3"/>
    </row>
    <row r="142" spans="1:93" x14ac:dyDescent="0.25">
      <c r="A142" s="64"/>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c r="CA142" s="65"/>
      <c r="CB142" s="65"/>
      <c r="CC142" s="65"/>
      <c r="CD142" s="65"/>
      <c r="CE142" s="65"/>
      <c r="CF142" s="65"/>
      <c r="CG142" s="65"/>
      <c r="CH142" s="65"/>
      <c r="CI142" s="65"/>
      <c r="CJ142" s="65"/>
      <c r="CK142" s="65"/>
      <c r="CL142" s="65"/>
      <c r="CM142" s="65"/>
      <c r="CN142" s="65"/>
      <c r="CO142" s="66"/>
    </row>
    <row r="143" spans="1:93" x14ac:dyDescent="0.25">
      <c r="A143" s="61"/>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3"/>
    </row>
    <row r="144" spans="1:93" x14ac:dyDescent="0.25">
      <c r="A144" s="64"/>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5"/>
      <c r="BZ144" s="65"/>
      <c r="CA144" s="65"/>
      <c r="CB144" s="65"/>
      <c r="CC144" s="65"/>
      <c r="CD144" s="65"/>
      <c r="CE144" s="65"/>
      <c r="CF144" s="65"/>
      <c r="CG144" s="65"/>
      <c r="CH144" s="65"/>
      <c r="CI144" s="65"/>
      <c r="CJ144" s="65"/>
      <c r="CK144" s="65"/>
      <c r="CL144" s="65"/>
      <c r="CM144" s="65"/>
      <c r="CN144" s="65"/>
      <c r="CO144" s="66"/>
    </row>
    <row r="145" spans="1:93" x14ac:dyDescent="0.25">
      <c r="A145" s="61"/>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3"/>
    </row>
    <row r="146" spans="1:93" x14ac:dyDescent="0.25">
      <c r="A146" s="64"/>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5"/>
      <c r="BZ146" s="65"/>
      <c r="CA146" s="65"/>
      <c r="CB146" s="65"/>
      <c r="CC146" s="65"/>
      <c r="CD146" s="65"/>
      <c r="CE146" s="65"/>
      <c r="CF146" s="65"/>
      <c r="CG146" s="65"/>
      <c r="CH146" s="65"/>
      <c r="CI146" s="65"/>
      <c r="CJ146" s="65"/>
      <c r="CK146" s="65"/>
      <c r="CL146" s="65"/>
      <c r="CM146" s="65"/>
      <c r="CN146" s="65"/>
      <c r="CO146" s="66"/>
    </row>
    <row r="147" spans="1:93" x14ac:dyDescent="0.25">
      <c r="A147" s="61"/>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3"/>
    </row>
    <row r="148" spans="1:93" x14ac:dyDescent="0.25">
      <c r="A148" s="64"/>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5"/>
      <c r="BZ148" s="65"/>
      <c r="CA148" s="65"/>
      <c r="CB148" s="65"/>
      <c r="CC148" s="65"/>
      <c r="CD148" s="65"/>
      <c r="CE148" s="65"/>
      <c r="CF148" s="65"/>
      <c r="CG148" s="65"/>
      <c r="CH148" s="65"/>
      <c r="CI148" s="65"/>
      <c r="CJ148" s="65"/>
      <c r="CK148" s="65"/>
      <c r="CL148" s="65"/>
      <c r="CM148" s="65"/>
      <c r="CN148" s="65"/>
      <c r="CO148" s="66"/>
    </row>
    <row r="149" spans="1:93" x14ac:dyDescent="0.25">
      <c r="A149" s="61"/>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3"/>
    </row>
    <row r="150" spans="1:93" x14ac:dyDescent="0.25">
      <c r="A150" s="64"/>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6"/>
    </row>
    <row r="151" spans="1:93" x14ac:dyDescent="0.25">
      <c r="A151" s="61"/>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3"/>
    </row>
    <row r="152" spans="1:93" x14ac:dyDescent="0.25">
      <c r="A152" s="64"/>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6"/>
    </row>
    <row r="153" spans="1:93" x14ac:dyDescent="0.25">
      <c r="A153" s="61"/>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3"/>
    </row>
    <row r="154" spans="1:93" x14ac:dyDescent="0.25">
      <c r="A154" s="64"/>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5"/>
      <c r="BZ154" s="65"/>
      <c r="CA154" s="65"/>
      <c r="CB154" s="65"/>
      <c r="CC154" s="65"/>
      <c r="CD154" s="65"/>
      <c r="CE154" s="65"/>
      <c r="CF154" s="65"/>
      <c r="CG154" s="65"/>
      <c r="CH154" s="65"/>
      <c r="CI154" s="65"/>
      <c r="CJ154" s="65"/>
      <c r="CK154" s="65"/>
      <c r="CL154" s="65"/>
      <c r="CM154" s="65"/>
      <c r="CN154" s="65"/>
      <c r="CO154" s="66"/>
    </row>
    <row r="155" spans="1:93" x14ac:dyDescent="0.25">
      <c r="A155" s="61"/>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3"/>
    </row>
    <row r="156" spans="1:93" x14ac:dyDescent="0.25">
      <c r="A156" s="64"/>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5"/>
      <c r="BZ156" s="65"/>
      <c r="CA156" s="65"/>
      <c r="CB156" s="65"/>
      <c r="CC156" s="65"/>
      <c r="CD156" s="65"/>
      <c r="CE156" s="65"/>
      <c r="CF156" s="65"/>
      <c r="CG156" s="65"/>
      <c r="CH156" s="65"/>
      <c r="CI156" s="65"/>
      <c r="CJ156" s="65"/>
      <c r="CK156" s="65"/>
      <c r="CL156" s="65"/>
      <c r="CM156" s="65"/>
      <c r="CN156" s="65"/>
      <c r="CO156" s="66"/>
    </row>
    <row r="157" spans="1:93" x14ac:dyDescent="0.25">
      <c r="A157" s="61"/>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3"/>
    </row>
    <row r="158" spans="1:93" x14ac:dyDescent="0.25">
      <c r="A158" s="64"/>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5"/>
      <c r="BZ158" s="65"/>
      <c r="CA158" s="65"/>
      <c r="CB158" s="65"/>
      <c r="CC158" s="65"/>
      <c r="CD158" s="65"/>
      <c r="CE158" s="65"/>
      <c r="CF158" s="65"/>
      <c r="CG158" s="65"/>
      <c r="CH158" s="65"/>
      <c r="CI158" s="65"/>
      <c r="CJ158" s="65"/>
      <c r="CK158" s="65"/>
      <c r="CL158" s="65"/>
      <c r="CM158" s="65"/>
      <c r="CN158" s="65"/>
      <c r="CO158" s="66"/>
    </row>
    <row r="159" spans="1:93" x14ac:dyDescent="0.25">
      <c r="A159" s="61"/>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3"/>
    </row>
    <row r="160" spans="1:93" x14ac:dyDescent="0.25">
      <c r="A160" s="64"/>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6"/>
    </row>
    <row r="161" spans="1:93" x14ac:dyDescent="0.25">
      <c r="A161" s="61"/>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3"/>
    </row>
    <row r="162" spans="1:93" x14ac:dyDescent="0.25">
      <c r="A162" s="64"/>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5"/>
      <c r="BZ162" s="65"/>
      <c r="CA162" s="65"/>
      <c r="CB162" s="65"/>
      <c r="CC162" s="65"/>
      <c r="CD162" s="65"/>
      <c r="CE162" s="65"/>
      <c r="CF162" s="65"/>
      <c r="CG162" s="65"/>
      <c r="CH162" s="65"/>
      <c r="CI162" s="65"/>
      <c r="CJ162" s="65"/>
      <c r="CK162" s="65"/>
      <c r="CL162" s="65"/>
      <c r="CM162" s="65"/>
      <c r="CN162" s="65"/>
      <c r="CO162" s="66"/>
    </row>
    <row r="163" spans="1:93" x14ac:dyDescent="0.25">
      <c r="A163" s="61"/>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3"/>
    </row>
    <row r="164" spans="1:93" x14ac:dyDescent="0.25">
      <c r="A164" s="64"/>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5"/>
      <c r="BZ164" s="65"/>
      <c r="CA164" s="65"/>
      <c r="CB164" s="65"/>
      <c r="CC164" s="65"/>
      <c r="CD164" s="65"/>
      <c r="CE164" s="65"/>
      <c r="CF164" s="65"/>
      <c r="CG164" s="65"/>
      <c r="CH164" s="65"/>
      <c r="CI164" s="65"/>
      <c r="CJ164" s="65"/>
      <c r="CK164" s="65"/>
      <c r="CL164" s="65"/>
      <c r="CM164" s="65"/>
      <c r="CN164" s="65"/>
      <c r="CO164" s="66"/>
    </row>
    <row r="165" spans="1:93" x14ac:dyDescent="0.25">
      <c r="A165" s="61"/>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3"/>
    </row>
    <row r="166" spans="1:93" x14ac:dyDescent="0.25">
      <c r="A166" s="64"/>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5"/>
      <c r="BZ166" s="65"/>
      <c r="CA166" s="65"/>
      <c r="CB166" s="65"/>
      <c r="CC166" s="65"/>
      <c r="CD166" s="65"/>
      <c r="CE166" s="65"/>
      <c r="CF166" s="65"/>
      <c r="CG166" s="65"/>
      <c r="CH166" s="65"/>
      <c r="CI166" s="65"/>
      <c r="CJ166" s="65"/>
      <c r="CK166" s="65"/>
      <c r="CL166" s="65"/>
      <c r="CM166" s="65"/>
      <c r="CN166" s="65"/>
      <c r="CO166" s="66"/>
    </row>
    <row r="167" spans="1:93" x14ac:dyDescent="0.25">
      <c r="A167" s="61"/>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3"/>
    </row>
    <row r="168" spans="1:93" x14ac:dyDescent="0.25">
      <c r="A168" s="64"/>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5"/>
      <c r="BZ168" s="65"/>
      <c r="CA168" s="65"/>
      <c r="CB168" s="65"/>
      <c r="CC168" s="65"/>
      <c r="CD168" s="65"/>
      <c r="CE168" s="65"/>
      <c r="CF168" s="65"/>
      <c r="CG168" s="65"/>
      <c r="CH168" s="65"/>
      <c r="CI168" s="65"/>
      <c r="CJ168" s="65"/>
      <c r="CK168" s="65"/>
      <c r="CL168" s="65"/>
      <c r="CM168" s="65"/>
      <c r="CN168" s="65"/>
      <c r="CO168" s="66"/>
    </row>
    <row r="169" spans="1:93" x14ac:dyDescent="0.25">
      <c r="A169" s="61"/>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3"/>
    </row>
    <row r="170" spans="1:93" x14ac:dyDescent="0.25">
      <c r="A170" s="64"/>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6"/>
    </row>
    <row r="171" spans="1:93" x14ac:dyDescent="0.25">
      <c r="A171" s="61"/>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3"/>
    </row>
    <row r="172" spans="1:93" x14ac:dyDescent="0.25">
      <c r="A172" s="64"/>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5"/>
      <c r="BZ172" s="65"/>
      <c r="CA172" s="65"/>
      <c r="CB172" s="65"/>
      <c r="CC172" s="65"/>
      <c r="CD172" s="65"/>
      <c r="CE172" s="65"/>
      <c r="CF172" s="65"/>
      <c r="CG172" s="65"/>
      <c r="CH172" s="65"/>
      <c r="CI172" s="65"/>
      <c r="CJ172" s="65"/>
      <c r="CK172" s="65"/>
      <c r="CL172" s="65"/>
      <c r="CM172" s="65"/>
      <c r="CN172" s="65"/>
      <c r="CO172" s="66"/>
    </row>
    <row r="173" spans="1:93" x14ac:dyDescent="0.25">
      <c r="A173" s="61"/>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3"/>
    </row>
    <row r="174" spans="1:93" x14ac:dyDescent="0.25">
      <c r="A174" s="64"/>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5"/>
      <c r="BZ174" s="65"/>
      <c r="CA174" s="65"/>
      <c r="CB174" s="65"/>
      <c r="CC174" s="65"/>
      <c r="CD174" s="65"/>
      <c r="CE174" s="65"/>
      <c r="CF174" s="65"/>
      <c r="CG174" s="65"/>
      <c r="CH174" s="65"/>
      <c r="CI174" s="65"/>
      <c r="CJ174" s="65"/>
      <c r="CK174" s="65"/>
      <c r="CL174" s="65"/>
      <c r="CM174" s="65"/>
      <c r="CN174" s="65"/>
      <c r="CO174" s="66"/>
    </row>
    <row r="175" spans="1:93" x14ac:dyDescent="0.25">
      <c r="A175" s="61"/>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3"/>
    </row>
    <row r="176" spans="1:93" x14ac:dyDescent="0.25">
      <c r="A176" s="64"/>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5"/>
      <c r="BZ176" s="65"/>
      <c r="CA176" s="65"/>
      <c r="CB176" s="65"/>
      <c r="CC176" s="65"/>
      <c r="CD176" s="65"/>
      <c r="CE176" s="65"/>
      <c r="CF176" s="65"/>
      <c r="CG176" s="65"/>
      <c r="CH176" s="65"/>
      <c r="CI176" s="65"/>
      <c r="CJ176" s="65"/>
      <c r="CK176" s="65"/>
      <c r="CL176" s="65"/>
      <c r="CM176" s="65"/>
      <c r="CN176" s="65"/>
      <c r="CO176" s="66"/>
    </row>
    <row r="177" spans="1:93" x14ac:dyDescent="0.25">
      <c r="A177" s="61"/>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3"/>
    </row>
    <row r="178" spans="1:93" x14ac:dyDescent="0.25">
      <c r="A178" s="64"/>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5"/>
      <c r="BZ178" s="65"/>
      <c r="CA178" s="65"/>
      <c r="CB178" s="65"/>
      <c r="CC178" s="65"/>
      <c r="CD178" s="65"/>
      <c r="CE178" s="65"/>
      <c r="CF178" s="65"/>
      <c r="CG178" s="65"/>
      <c r="CH178" s="65"/>
      <c r="CI178" s="65"/>
      <c r="CJ178" s="65"/>
      <c r="CK178" s="65"/>
      <c r="CL178" s="65"/>
      <c r="CM178" s="65"/>
      <c r="CN178" s="65"/>
      <c r="CO178" s="66"/>
    </row>
    <row r="179" spans="1:93" x14ac:dyDescent="0.25">
      <c r="A179" s="61"/>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3"/>
    </row>
    <row r="180" spans="1:93" x14ac:dyDescent="0.25">
      <c r="A180" s="64"/>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6"/>
    </row>
    <row r="181" spans="1:93" x14ac:dyDescent="0.25">
      <c r="A181" s="61"/>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3"/>
    </row>
    <row r="182" spans="1:93" x14ac:dyDescent="0.25">
      <c r="A182" s="64"/>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5"/>
      <c r="BZ182" s="65"/>
      <c r="CA182" s="65"/>
      <c r="CB182" s="65"/>
      <c r="CC182" s="65"/>
      <c r="CD182" s="65"/>
      <c r="CE182" s="65"/>
      <c r="CF182" s="65"/>
      <c r="CG182" s="65"/>
      <c r="CH182" s="65"/>
      <c r="CI182" s="65"/>
      <c r="CJ182" s="65"/>
      <c r="CK182" s="65"/>
      <c r="CL182" s="65"/>
      <c r="CM182" s="65"/>
      <c r="CN182" s="65"/>
      <c r="CO182" s="66"/>
    </row>
    <row r="183" spans="1:93" x14ac:dyDescent="0.25">
      <c r="A183" s="61"/>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3"/>
    </row>
    <row r="184" spans="1:93" x14ac:dyDescent="0.25">
      <c r="A184" s="64"/>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5"/>
      <c r="BZ184" s="65"/>
      <c r="CA184" s="65"/>
      <c r="CB184" s="65"/>
      <c r="CC184" s="65"/>
      <c r="CD184" s="65"/>
      <c r="CE184" s="65"/>
      <c r="CF184" s="65"/>
      <c r="CG184" s="65"/>
      <c r="CH184" s="65"/>
      <c r="CI184" s="65"/>
      <c r="CJ184" s="65"/>
      <c r="CK184" s="65"/>
      <c r="CL184" s="65"/>
      <c r="CM184" s="65"/>
      <c r="CN184" s="65"/>
      <c r="CO184" s="66"/>
    </row>
    <row r="185" spans="1:93" x14ac:dyDescent="0.25">
      <c r="A185" s="61"/>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3"/>
    </row>
    <row r="186" spans="1:93" x14ac:dyDescent="0.25">
      <c r="A186" s="64"/>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5"/>
      <c r="BZ186" s="65"/>
      <c r="CA186" s="65"/>
      <c r="CB186" s="65"/>
      <c r="CC186" s="65"/>
      <c r="CD186" s="65"/>
      <c r="CE186" s="65"/>
      <c r="CF186" s="65"/>
      <c r="CG186" s="65"/>
      <c r="CH186" s="65"/>
      <c r="CI186" s="65"/>
      <c r="CJ186" s="65"/>
      <c r="CK186" s="65"/>
      <c r="CL186" s="65"/>
      <c r="CM186" s="65"/>
      <c r="CN186" s="65"/>
      <c r="CO186" s="66"/>
    </row>
    <row r="187" spans="1:93" x14ac:dyDescent="0.25">
      <c r="A187" s="61"/>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3"/>
    </row>
    <row r="188" spans="1:93" x14ac:dyDescent="0.25">
      <c r="A188" s="64"/>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5"/>
      <c r="BZ188" s="65"/>
      <c r="CA188" s="65"/>
      <c r="CB188" s="65"/>
      <c r="CC188" s="65"/>
      <c r="CD188" s="65"/>
      <c r="CE188" s="65"/>
      <c r="CF188" s="65"/>
      <c r="CG188" s="65"/>
      <c r="CH188" s="65"/>
      <c r="CI188" s="65"/>
      <c r="CJ188" s="65"/>
      <c r="CK188" s="65"/>
      <c r="CL188" s="65"/>
      <c r="CM188" s="65"/>
      <c r="CN188" s="65"/>
      <c r="CO188" s="66"/>
    </row>
    <row r="189" spans="1:93" x14ac:dyDescent="0.25">
      <c r="A189" s="61"/>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3"/>
    </row>
    <row r="190" spans="1:93" x14ac:dyDescent="0.25">
      <c r="A190" s="64"/>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c r="CD190" s="65"/>
      <c r="CE190" s="65"/>
      <c r="CF190" s="65"/>
      <c r="CG190" s="65"/>
      <c r="CH190" s="65"/>
      <c r="CI190" s="65"/>
      <c r="CJ190" s="65"/>
      <c r="CK190" s="65"/>
      <c r="CL190" s="65"/>
      <c r="CM190" s="65"/>
      <c r="CN190" s="65"/>
      <c r="CO190" s="66"/>
    </row>
    <row r="191" spans="1:93" x14ac:dyDescent="0.25">
      <c r="A191" s="61"/>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3"/>
    </row>
    <row r="192" spans="1:93" x14ac:dyDescent="0.25">
      <c r="A192" s="64"/>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5"/>
      <c r="BZ192" s="65"/>
      <c r="CA192" s="65"/>
      <c r="CB192" s="65"/>
      <c r="CC192" s="65"/>
      <c r="CD192" s="65"/>
      <c r="CE192" s="65"/>
      <c r="CF192" s="65"/>
      <c r="CG192" s="65"/>
      <c r="CH192" s="65"/>
      <c r="CI192" s="65"/>
      <c r="CJ192" s="65"/>
      <c r="CK192" s="65"/>
      <c r="CL192" s="65"/>
      <c r="CM192" s="65"/>
      <c r="CN192" s="65"/>
      <c r="CO192" s="66"/>
    </row>
    <row r="193" spans="1:93" x14ac:dyDescent="0.25">
      <c r="A193" s="61"/>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3"/>
    </row>
    <row r="194" spans="1:93" x14ac:dyDescent="0.25">
      <c r="A194" s="64"/>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5"/>
      <c r="BZ194" s="65"/>
      <c r="CA194" s="65"/>
      <c r="CB194" s="65"/>
      <c r="CC194" s="65"/>
      <c r="CD194" s="65"/>
      <c r="CE194" s="65"/>
      <c r="CF194" s="65"/>
      <c r="CG194" s="65"/>
      <c r="CH194" s="65"/>
      <c r="CI194" s="65"/>
      <c r="CJ194" s="65"/>
      <c r="CK194" s="65"/>
      <c r="CL194" s="65"/>
      <c r="CM194" s="65"/>
      <c r="CN194" s="65"/>
      <c r="CO194" s="66"/>
    </row>
    <row r="195" spans="1:93" x14ac:dyDescent="0.25">
      <c r="A195" s="61"/>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3"/>
    </row>
    <row r="196" spans="1:93" x14ac:dyDescent="0.25">
      <c r="A196" s="64"/>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5"/>
      <c r="BZ196" s="65"/>
      <c r="CA196" s="65"/>
      <c r="CB196" s="65"/>
      <c r="CC196" s="65"/>
      <c r="CD196" s="65"/>
      <c r="CE196" s="65"/>
      <c r="CF196" s="65"/>
      <c r="CG196" s="65"/>
      <c r="CH196" s="65"/>
      <c r="CI196" s="65"/>
      <c r="CJ196" s="65"/>
      <c r="CK196" s="65"/>
      <c r="CL196" s="65"/>
      <c r="CM196" s="65"/>
      <c r="CN196" s="65"/>
      <c r="CO196" s="66"/>
    </row>
    <row r="197" spans="1:93" x14ac:dyDescent="0.25">
      <c r="A197" s="61"/>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3"/>
    </row>
    <row r="198" spans="1:93" x14ac:dyDescent="0.25">
      <c r="A198" s="64"/>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5"/>
      <c r="BZ198" s="65"/>
      <c r="CA198" s="65"/>
      <c r="CB198" s="65"/>
      <c r="CC198" s="65"/>
      <c r="CD198" s="65"/>
      <c r="CE198" s="65"/>
      <c r="CF198" s="65"/>
      <c r="CG198" s="65"/>
      <c r="CH198" s="65"/>
      <c r="CI198" s="65"/>
      <c r="CJ198" s="65"/>
      <c r="CK198" s="65"/>
      <c r="CL198" s="65"/>
      <c r="CM198" s="65"/>
      <c r="CN198" s="65"/>
      <c r="CO198" s="66"/>
    </row>
    <row r="199" spans="1:93" x14ac:dyDescent="0.25">
      <c r="A199" s="61"/>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3"/>
    </row>
    <row r="200" spans="1:93" x14ac:dyDescent="0.25">
      <c r="A200" s="64"/>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5"/>
      <c r="BZ200" s="65"/>
      <c r="CA200" s="65"/>
      <c r="CB200" s="65"/>
      <c r="CC200" s="65"/>
      <c r="CD200" s="65"/>
      <c r="CE200" s="65"/>
      <c r="CF200" s="65"/>
      <c r="CG200" s="65"/>
      <c r="CH200" s="65"/>
      <c r="CI200" s="65"/>
      <c r="CJ200" s="65"/>
      <c r="CK200" s="65"/>
      <c r="CL200" s="65"/>
      <c r="CM200" s="65"/>
      <c r="CN200" s="65"/>
      <c r="CO200" s="66"/>
    </row>
    <row r="201" spans="1:93" x14ac:dyDescent="0.25">
      <c r="A201" s="61"/>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3"/>
    </row>
    <row r="202" spans="1:93" x14ac:dyDescent="0.25">
      <c r="A202" s="64"/>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5"/>
      <c r="BZ202" s="65"/>
      <c r="CA202" s="65"/>
      <c r="CB202" s="65"/>
      <c r="CC202" s="65"/>
      <c r="CD202" s="65"/>
      <c r="CE202" s="65"/>
      <c r="CF202" s="65"/>
      <c r="CG202" s="65"/>
      <c r="CH202" s="65"/>
      <c r="CI202" s="65"/>
      <c r="CJ202" s="65"/>
      <c r="CK202" s="65"/>
      <c r="CL202" s="65"/>
      <c r="CM202" s="65"/>
      <c r="CN202" s="65"/>
      <c r="CO202" s="66"/>
    </row>
    <row r="203" spans="1:93" x14ac:dyDescent="0.25">
      <c r="A203" s="61"/>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3"/>
    </row>
    <row r="204" spans="1:93" x14ac:dyDescent="0.25">
      <c r="A204" s="64"/>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5"/>
      <c r="BZ204" s="65"/>
      <c r="CA204" s="65"/>
      <c r="CB204" s="65"/>
      <c r="CC204" s="65"/>
      <c r="CD204" s="65"/>
      <c r="CE204" s="65"/>
      <c r="CF204" s="65"/>
      <c r="CG204" s="65"/>
      <c r="CH204" s="65"/>
      <c r="CI204" s="65"/>
      <c r="CJ204" s="65"/>
      <c r="CK204" s="65"/>
      <c r="CL204" s="65"/>
      <c r="CM204" s="65"/>
      <c r="CN204" s="65"/>
      <c r="CO204" s="66"/>
    </row>
    <row r="205" spans="1:93" x14ac:dyDescent="0.25">
      <c r="A205" s="61"/>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3"/>
    </row>
    <row r="206" spans="1:93" x14ac:dyDescent="0.25">
      <c r="A206" s="64"/>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5"/>
      <c r="BZ206" s="65"/>
      <c r="CA206" s="65"/>
      <c r="CB206" s="65"/>
      <c r="CC206" s="65"/>
      <c r="CD206" s="65"/>
      <c r="CE206" s="65"/>
      <c r="CF206" s="65"/>
      <c r="CG206" s="65"/>
      <c r="CH206" s="65"/>
      <c r="CI206" s="65"/>
      <c r="CJ206" s="65"/>
      <c r="CK206" s="65"/>
      <c r="CL206" s="65"/>
      <c r="CM206" s="65"/>
      <c r="CN206" s="65"/>
      <c r="CO206" s="66"/>
    </row>
    <row r="207" spans="1:93" x14ac:dyDescent="0.25">
      <c r="A207" s="61"/>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3"/>
    </row>
    <row r="208" spans="1:93" x14ac:dyDescent="0.25">
      <c r="A208" s="64"/>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5"/>
      <c r="BZ208" s="65"/>
      <c r="CA208" s="65"/>
      <c r="CB208" s="65"/>
      <c r="CC208" s="65"/>
      <c r="CD208" s="65"/>
      <c r="CE208" s="65"/>
      <c r="CF208" s="65"/>
      <c r="CG208" s="65"/>
      <c r="CH208" s="65"/>
      <c r="CI208" s="65"/>
      <c r="CJ208" s="65"/>
      <c r="CK208" s="65"/>
      <c r="CL208" s="65"/>
      <c r="CM208" s="65"/>
      <c r="CN208" s="65"/>
      <c r="CO208" s="66"/>
    </row>
    <row r="209" spans="1:93" x14ac:dyDescent="0.25">
      <c r="A209" s="61"/>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3"/>
    </row>
    <row r="210" spans="1:93" x14ac:dyDescent="0.25">
      <c r="A210" s="64"/>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5"/>
      <c r="BZ210" s="65"/>
      <c r="CA210" s="65"/>
      <c r="CB210" s="65"/>
      <c r="CC210" s="65"/>
      <c r="CD210" s="65"/>
      <c r="CE210" s="65"/>
      <c r="CF210" s="65"/>
      <c r="CG210" s="65"/>
      <c r="CH210" s="65"/>
      <c r="CI210" s="65"/>
      <c r="CJ210" s="65"/>
      <c r="CK210" s="65"/>
      <c r="CL210" s="65"/>
      <c r="CM210" s="65"/>
      <c r="CN210" s="65"/>
      <c r="CO210" s="66"/>
    </row>
    <row r="211" spans="1:93" x14ac:dyDescent="0.25">
      <c r="A211" s="61"/>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3"/>
    </row>
    <row r="212" spans="1:93" x14ac:dyDescent="0.25">
      <c r="A212" s="64"/>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5"/>
      <c r="BZ212" s="65"/>
      <c r="CA212" s="65"/>
      <c r="CB212" s="65"/>
      <c r="CC212" s="65"/>
      <c r="CD212" s="65"/>
      <c r="CE212" s="65"/>
      <c r="CF212" s="65"/>
      <c r="CG212" s="65"/>
      <c r="CH212" s="65"/>
      <c r="CI212" s="65"/>
      <c r="CJ212" s="65"/>
      <c r="CK212" s="65"/>
      <c r="CL212" s="65"/>
      <c r="CM212" s="65"/>
      <c r="CN212" s="65"/>
      <c r="CO212" s="66"/>
    </row>
    <row r="213" spans="1:93" x14ac:dyDescent="0.25">
      <c r="A213" s="61"/>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3"/>
    </row>
    <row r="214" spans="1:93" x14ac:dyDescent="0.25">
      <c r="A214" s="64"/>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5"/>
      <c r="BZ214" s="65"/>
      <c r="CA214" s="65"/>
      <c r="CB214" s="65"/>
      <c r="CC214" s="65"/>
      <c r="CD214" s="65"/>
      <c r="CE214" s="65"/>
      <c r="CF214" s="65"/>
      <c r="CG214" s="65"/>
      <c r="CH214" s="65"/>
      <c r="CI214" s="65"/>
      <c r="CJ214" s="65"/>
      <c r="CK214" s="65"/>
      <c r="CL214" s="65"/>
      <c r="CM214" s="65"/>
      <c r="CN214" s="65"/>
      <c r="CO214" s="66"/>
    </row>
    <row r="215" spans="1:93" x14ac:dyDescent="0.25">
      <c r="A215" s="67"/>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9"/>
    </row>
  </sheetData>
  <phoneticPr fontId="10" type="noConversion"/>
  <pageMargins left="0.511811024" right="0.511811024" top="0.78740157499999996" bottom="0.78740157499999996" header="0.31496062000000002" footer="0.31496062000000002"/>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3:H1006"/>
  <sheetViews>
    <sheetView showGridLines="0" zoomScale="85" zoomScaleNormal="85" workbookViewId="0">
      <pane ySplit="7" topLeftCell="A8" activePane="bottomLeft" state="frozen"/>
      <selection pane="bottomLeft" activeCell="C15" sqref="C15"/>
    </sheetView>
  </sheetViews>
  <sheetFormatPr defaultColWidth="14.42578125" defaultRowHeight="15" customHeight="1" x14ac:dyDescent="0.25"/>
  <cols>
    <col min="1" max="1" width="40.140625" style="31" customWidth="1"/>
    <col min="2" max="2" width="12.28515625" style="31" customWidth="1"/>
    <col min="3" max="3" width="101" style="41" customWidth="1"/>
    <col min="4" max="4" width="28.42578125" style="31" customWidth="1"/>
    <col min="5" max="5" width="25.42578125" style="30" customWidth="1"/>
    <col min="6" max="6" width="25.42578125" style="31" customWidth="1"/>
    <col min="7" max="7" width="19.28515625" style="31" customWidth="1"/>
    <col min="8" max="8" width="20.28515625" style="31" customWidth="1"/>
    <col min="9" max="24" width="8.42578125" style="31" customWidth="1"/>
    <col min="25" max="16384" width="14.42578125" style="31"/>
  </cols>
  <sheetData>
    <row r="3" spans="1:8" ht="35.1" customHeight="1" x14ac:dyDescent="0.25">
      <c r="D3" s="132" t="s">
        <v>125</v>
      </c>
      <c r="E3" s="133" t="s">
        <v>126</v>
      </c>
      <c r="F3" s="134"/>
      <c r="G3" s="135"/>
    </row>
    <row r="4" spans="1:8" ht="15" customHeight="1" x14ac:dyDescent="0.25">
      <c r="D4" s="155" t="s">
        <v>127</v>
      </c>
      <c r="E4" s="155"/>
      <c r="F4" s="155"/>
      <c r="G4" s="155"/>
    </row>
    <row r="7" spans="1:8" x14ac:dyDescent="0.25">
      <c r="A7" s="136" t="s">
        <v>3</v>
      </c>
      <c r="B7" s="137" t="s">
        <v>4</v>
      </c>
      <c r="C7" s="138" t="s">
        <v>5</v>
      </c>
      <c r="D7" s="137" t="s">
        <v>6</v>
      </c>
      <c r="E7" s="139" t="s">
        <v>53</v>
      </c>
      <c r="F7" s="137" t="s">
        <v>7</v>
      </c>
      <c r="G7" s="137" t="s">
        <v>8</v>
      </c>
      <c r="H7" s="137" t="s">
        <v>10</v>
      </c>
    </row>
    <row r="8" spans="1:8" x14ac:dyDescent="0.25">
      <c r="A8" t="s">
        <v>210</v>
      </c>
      <c r="B8" s="33">
        <v>1</v>
      </c>
      <c r="C8" t="s">
        <v>11</v>
      </c>
      <c r="D8" t="s">
        <v>12</v>
      </c>
      <c r="E8" s="28" t="str">
        <f>IFERROR(ROUNDUP('Dados do Forms'!D1,0),"")</f>
        <v/>
      </c>
      <c r="F8" s="35" t="str">
        <f>IF(ISNUMBER(E8), IF(TRIM(UPPER(D8))="INVERTIDA", 4 - E8, E8), "")</f>
        <v/>
      </c>
      <c r="G8" s="33" t="str">
        <f>IF(ISNUMBER(F8), IF(F8&gt;=3,"Alta", IF(F8=2,"Média", IF(F8&lt;=1,"Baixa",""))), "")</f>
        <v/>
      </c>
      <c r="H8" s="33" t="str">
        <f>IF(G8="Alta",3,IF(G8="Média",2,IF(G8="Baixa",1,"")))</f>
        <v/>
      </c>
    </row>
    <row r="9" spans="1:8" x14ac:dyDescent="0.25">
      <c r="A9" t="s">
        <v>210</v>
      </c>
      <c r="B9" s="35">
        <v>2</v>
      </c>
      <c r="C9" t="s">
        <v>13</v>
      </c>
      <c r="D9" t="s">
        <v>14</v>
      </c>
      <c r="E9" s="28" t="str">
        <f>IFERROR(ROUNDUP('Dados do Forms'!E1,0),"")</f>
        <v/>
      </c>
      <c r="F9" s="35" t="str">
        <f>IF(ISNUMBER(E9), IF(TRIM(UPPER(D9))="INVERTIDA", 4 - E9, E9), "")</f>
        <v/>
      </c>
      <c r="G9" s="35" t="str">
        <f t="shared" ref="G9:G97" si="0">IF(ISNUMBER(F9), IF(F9&gt;=3,"Alta", IF(F9=2,"Média", IF(F9&lt;=1,"Baixa",""))), "")</f>
        <v/>
      </c>
      <c r="H9" s="35" t="str">
        <f t="shared" ref="H9:H39" si="1">IF(G9="Alta",3,IF(G9="Média",2,IF(G9="Baixa",1,"")))</f>
        <v/>
      </c>
    </row>
    <row r="10" spans="1:8" x14ac:dyDescent="0.25">
      <c r="A10" t="s">
        <v>210</v>
      </c>
      <c r="B10" s="33">
        <v>3</v>
      </c>
      <c r="C10" t="s">
        <v>15</v>
      </c>
      <c r="D10" t="s">
        <v>14</v>
      </c>
      <c r="E10" s="28" t="str">
        <f>IFERROR(ROUNDUP('Dados do Forms'!F1,0),"")</f>
        <v/>
      </c>
      <c r="F10" s="33" t="str">
        <f t="shared" ref="F10:F39" si="2">IF(ISNUMBER(E10), IF(D10="Invertida", 4 - E10, E10), "")</f>
        <v/>
      </c>
      <c r="G10" s="33" t="str">
        <f t="shared" si="0"/>
        <v/>
      </c>
      <c r="H10" s="33" t="str">
        <f t="shared" si="1"/>
        <v/>
      </c>
    </row>
    <row r="11" spans="1:8" x14ac:dyDescent="0.25">
      <c r="A11" t="s">
        <v>210</v>
      </c>
      <c r="B11" s="35">
        <v>4</v>
      </c>
      <c r="C11" t="s">
        <v>16</v>
      </c>
      <c r="D11" t="s">
        <v>12</v>
      </c>
      <c r="E11" s="28" t="str">
        <f>IFERROR(ROUNDUP('Dados do Forms'!G1,0),"")</f>
        <v/>
      </c>
      <c r="F11" s="35" t="str">
        <f t="shared" si="2"/>
        <v/>
      </c>
      <c r="G11" s="35" t="str">
        <f t="shared" si="0"/>
        <v/>
      </c>
      <c r="H11" s="35" t="str">
        <f t="shared" si="1"/>
        <v/>
      </c>
    </row>
    <row r="12" spans="1:8" x14ac:dyDescent="0.25">
      <c r="A12" t="s">
        <v>210</v>
      </c>
      <c r="B12" s="33">
        <v>5</v>
      </c>
      <c r="C12" t="s">
        <v>17</v>
      </c>
      <c r="D12" t="s">
        <v>14</v>
      </c>
      <c r="E12" s="28" t="str">
        <f>IFERROR(ROUNDUP('Dados do Forms'!H1,0),"")</f>
        <v/>
      </c>
      <c r="F12" s="33" t="str">
        <f t="shared" si="2"/>
        <v/>
      </c>
      <c r="G12" s="33" t="str">
        <f t="shared" si="0"/>
        <v/>
      </c>
      <c r="H12" s="33" t="str">
        <f t="shared" si="1"/>
        <v/>
      </c>
    </row>
    <row r="13" spans="1:8" x14ac:dyDescent="0.25">
      <c r="A13" s="92" t="s">
        <v>211</v>
      </c>
      <c r="B13" s="35">
        <v>1</v>
      </c>
      <c r="C13" s="92" t="s">
        <v>22</v>
      </c>
      <c r="D13" s="92" t="s">
        <v>14</v>
      </c>
      <c r="E13" s="28" t="str">
        <f>IFERROR(ROUNDUP('Dados do Forms'!I1,0),"")</f>
        <v/>
      </c>
      <c r="F13" s="35" t="str">
        <f t="shared" si="2"/>
        <v/>
      </c>
      <c r="G13" s="35" t="str">
        <f t="shared" si="0"/>
        <v/>
      </c>
      <c r="H13" s="35" t="str">
        <f t="shared" si="1"/>
        <v/>
      </c>
    </row>
    <row r="14" spans="1:8" x14ac:dyDescent="0.25">
      <c r="A14" s="92" t="s">
        <v>211</v>
      </c>
      <c r="B14" s="33">
        <v>2</v>
      </c>
      <c r="C14" s="92" t="s">
        <v>172</v>
      </c>
      <c r="D14" s="92" t="s">
        <v>14</v>
      </c>
      <c r="E14" s="28" t="str">
        <f>IFERROR(ROUNDUP('Dados do Forms'!J1,0),"")</f>
        <v/>
      </c>
      <c r="F14" s="33" t="str">
        <f t="shared" si="2"/>
        <v/>
      </c>
      <c r="G14" s="33" t="str">
        <f t="shared" si="0"/>
        <v/>
      </c>
      <c r="H14" s="33" t="str">
        <f t="shared" si="1"/>
        <v/>
      </c>
    </row>
    <row r="15" spans="1:8" x14ac:dyDescent="0.25">
      <c r="A15" s="92" t="s">
        <v>211</v>
      </c>
      <c r="B15" s="35">
        <v>3</v>
      </c>
      <c r="C15" s="92" t="s">
        <v>173</v>
      </c>
      <c r="D15" s="92" t="s">
        <v>14</v>
      </c>
      <c r="E15" s="28" t="str">
        <f>IFERROR(ROUNDUP('Dados do Forms'!K1,0),"")</f>
        <v/>
      </c>
      <c r="F15" s="35" t="str">
        <f>IF(ISNUMBER(E15), IF(D15="Invertida", 4 - E15, E15), "")</f>
        <v/>
      </c>
      <c r="G15" s="35" t="str">
        <f t="shared" si="0"/>
        <v/>
      </c>
      <c r="H15" s="35" t="str">
        <f t="shared" si="1"/>
        <v/>
      </c>
    </row>
    <row r="16" spans="1:8" x14ac:dyDescent="0.25">
      <c r="A16" s="92" t="s">
        <v>211</v>
      </c>
      <c r="B16" s="33">
        <v>4</v>
      </c>
      <c r="C16" s="92" t="s">
        <v>21</v>
      </c>
      <c r="D16" s="92" t="s">
        <v>14</v>
      </c>
      <c r="E16" s="28" t="str">
        <f>IFERROR(ROUNDUP('Dados do Forms'!L1,0),"")</f>
        <v/>
      </c>
      <c r="F16" s="33" t="str">
        <f t="shared" si="2"/>
        <v/>
      </c>
      <c r="G16" s="33" t="str">
        <f t="shared" si="0"/>
        <v/>
      </c>
      <c r="H16" s="33" t="str">
        <f t="shared" si="1"/>
        <v/>
      </c>
    </row>
    <row r="17" spans="1:8" x14ac:dyDescent="0.25">
      <c r="A17" s="92" t="s">
        <v>211</v>
      </c>
      <c r="B17" s="35">
        <v>5</v>
      </c>
      <c r="C17" s="92" t="s">
        <v>174</v>
      </c>
      <c r="D17" s="92" t="s">
        <v>14</v>
      </c>
      <c r="E17" s="28" t="str">
        <f>IFERROR(ROUNDUP('Dados do Forms'!M1,0),"")</f>
        <v/>
      </c>
      <c r="F17" s="35" t="str">
        <f t="shared" si="2"/>
        <v/>
      </c>
      <c r="G17" s="35" t="str">
        <f t="shared" si="0"/>
        <v/>
      </c>
      <c r="H17" s="35" t="str">
        <f t="shared" si="1"/>
        <v/>
      </c>
    </row>
    <row r="18" spans="1:8" x14ac:dyDescent="0.25">
      <c r="A18" t="s">
        <v>212</v>
      </c>
      <c r="B18" s="33">
        <v>1</v>
      </c>
      <c r="C18" t="s">
        <v>175</v>
      </c>
      <c r="D18" t="s">
        <v>12</v>
      </c>
      <c r="E18" s="28" t="str">
        <f>IFERROR(ROUNDUP('Dados do Forms'!N1,0),"")</f>
        <v/>
      </c>
      <c r="F18" s="33" t="str">
        <f t="shared" si="2"/>
        <v/>
      </c>
      <c r="G18" s="33" t="str">
        <f t="shared" si="0"/>
        <v/>
      </c>
      <c r="H18" s="33" t="str">
        <f t="shared" si="1"/>
        <v/>
      </c>
    </row>
    <row r="19" spans="1:8" x14ac:dyDescent="0.25">
      <c r="A19" t="s">
        <v>212</v>
      </c>
      <c r="B19" s="35">
        <v>2</v>
      </c>
      <c r="C19" t="s">
        <v>176</v>
      </c>
      <c r="D19" t="s">
        <v>14</v>
      </c>
      <c r="E19" s="28" t="str">
        <f>IFERROR(ROUNDUP('Dados do Forms'!O1,0),"")</f>
        <v/>
      </c>
      <c r="F19" s="35" t="str">
        <f t="shared" si="2"/>
        <v/>
      </c>
      <c r="G19" s="35" t="str">
        <f t="shared" si="0"/>
        <v/>
      </c>
      <c r="H19" s="35" t="str">
        <f t="shared" si="1"/>
        <v/>
      </c>
    </row>
    <row r="20" spans="1:8" x14ac:dyDescent="0.25">
      <c r="A20" t="s">
        <v>212</v>
      </c>
      <c r="B20" s="33">
        <v>3</v>
      </c>
      <c r="C20" t="s">
        <v>177</v>
      </c>
      <c r="D20" t="s">
        <v>12</v>
      </c>
      <c r="E20" s="28" t="str">
        <f>IFERROR(ROUNDUP('Dados do Forms'!P1,0),"")</f>
        <v/>
      </c>
      <c r="F20" s="33" t="str">
        <f t="shared" si="2"/>
        <v/>
      </c>
      <c r="G20" s="33" t="str">
        <f t="shared" si="0"/>
        <v/>
      </c>
      <c r="H20" s="33" t="str">
        <f t="shared" si="1"/>
        <v/>
      </c>
    </row>
    <row r="21" spans="1:8" x14ac:dyDescent="0.25">
      <c r="A21" t="s">
        <v>212</v>
      </c>
      <c r="B21" s="35">
        <v>4</v>
      </c>
      <c r="C21" t="s">
        <v>178</v>
      </c>
      <c r="D21" t="s">
        <v>14</v>
      </c>
      <c r="E21" s="28" t="str">
        <f>IFERROR(ROUNDUP('Dados do Forms'!Q1,0),"")</f>
        <v/>
      </c>
      <c r="F21" s="35" t="str">
        <f t="shared" si="2"/>
        <v/>
      </c>
      <c r="G21" s="35" t="str">
        <f t="shared" si="0"/>
        <v/>
      </c>
      <c r="H21" s="35" t="str">
        <f t="shared" si="1"/>
        <v/>
      </c>
    </row>
    <row r="22" spans="1:8" x14ac:dyDescent="0.25">
      <c r="A22" s="92" t="s">
        <v>213</v>
      </c>
      <c r="B22" s="33">
        <v>1</v>
      </c>
      <c r="C22" s="92" t="s">
        <v>179</v>
      </c>
      <c r="D22" s="92" t="s">
        <v>14</v>
      </c>
      <c r="E22" s="28" t="str">
        <f>IFERROR(ROUNDUP('Dados do Forms'!R1,0),"")</f>
        <v/>
      </c>
      <c r="F22" s="33" t="str">
        <f t="shared" si="2"/>
        <v/>
      </c>
      <c r="G22" s="33" t="str">
        <f t="shared" si="0"/>
        <v/>
      </c>
      <c r="H22" s="33" t="str">
        <f t="shared" si="1"/>
        <v/>
      </c>
    </row>
    <row r="23" spans="1:8" x14ac:dyDescent="0.25">
      <c r="A23" s="92" t="s">
        <v>213</v>
      </c>
      <c r="B23" s="35">
        <v>2</v>
      </c>
      <c r="C23" s="92" t="s">
        <v>180</v>
      </c>
      <c r="D23" s="92" t="s">
        <v>14</v>
      </c>
      <c r="E23" s="28" t="str">
        <f>IFERROR(ROUNDUP('Dados do Forms'!S1,0),"")</f>
        <v/>
      </c>
      <c r="F23" s="35" t="str">
        <f t="shared" si="2"/>
        <v/>
      </c>
      <c r="G23" s="35" t="str">
        <f t="shared" si="0"/>
        <v/>
      </c>
      <c r="H23" s="35" t="str">
        <f t="shared" si="1"/>
        <v/>
      </c>
    </row>
    <row r="24" spans="1:8" x14ac:dyDescent="0.25">
      <c r="A24" s="92" t="s">
        <v>213</v>
      </c>
      <c r="B24" s="33">
        <v>3</v>
      </c>
      <c r="C24" s="92" t="s">
        <v>181</v>
      </c>
      <c r="D24" s="92" t="s">
        <v>14</v>
      </c>
      <c r="E24" s="28" t="str">
        <f>IFERROR(ROUNDUP('Dados do Forms'!T1,0),"")</f>
        <v/>
      </c>
      <c r="F24" s="33" t="str">
        <f t="shared" si="2"/>
        <v/>
      </c>
      <c r="G24" s="33" t="str">
        <f t="shared" si="0"/>
        <v/>
      </c>
      <c r="H24" s="33" t="str">
        <f t="shared" si="1"/>
        <v/>
      </c>
    </row>
    <row r="25" spans="1:8" x14ac:dyDescent="0.25">
      <c r="A25" s="92" t="s">
        <v>213</v>
      </c>
      <c r="B25" s="35">
        <v>4</v>
      </c>
      <c r="C25" s="92" t="s">
        <v>182</v>
      </c>
      <c r="D25" s="92" t="s">
        <v>14</v>
      </c>
      <c r="E25" s="28" t="str">
        <f>IFERROR(ROUNDUP('Dados do Forms'!U1,0),"")</f>
        <v/>
      </c>
      <c r="F25" s="35" t="str">
        <f t="shared" si="2"/>
        <v/>
      </c>
      <c r="G25" s="35" t="str">
        <f t="shared" si="0"/>
        <v/>
      </c>
      <c r="H25" s="35" t="str">
        <f t="shared" si="1"/>
        <v/>
      </c>
    </row>
    <row r="26" spans="1:8" x14ac:dyDescent="0.25">
      <c r="A26" t="s">
        <v>214</v>
      </c>
      <c r="B26" s="33">
        <v>1</v>
      </c>
      <c r="C26" t="s">
        <v>19</v>
      </c>
      <c r="D26" t="s">
        <v>14</v>
      </c>
      <c r="E26" s="28" t="str">
        <f>IFERROR(ROUNDUP('Dados do Forms'!V1,0),"")</f>
        <v/>
      </c>
      <c r="F26" s="33" t="str">
        <f t="shared" si="2"/>
        <v/>
      </c>
      <c r="G26" s="33" t="str">
        <f t="shared" si="0"/>
        <v/>
      </c>
      <c r="H26" s="33" t="str">
        <f t="shared" si="1"/>
        <v/>
      </c>
    </row>
    <row r="27" spans="1:8" ht="15.75" customHeight="1" x14ac:dyDescent="0.25">
      <c r="A27" t="s">
        <v>214</v>
      </c>
      <c r="B27" s="35">
        <v>2</v>
      </c>
      <c r="C27" t="s">
        <v>183</v>
      </c>
      <c r="D27" t="s">
        <v>14</v>
      </c>
      <c r="E27" s="28" t="str">
        <f>IFERROR(ROUNDUP('Dados do Forms'!W1,0),"")</f>
        <v/>
      </c>
      <c r="F27" s="35" t="str">
        <f t="shared" si="2"/>
        <v/>
      </c>
      <c r="G27" s="35" t="str">
        <f t="shared" si="0"/>
        <v/>
      </c>
      <c r="H27" s="35" t="str">
        <f t="shared" si="1"/>
        <v/>
      </c>
    </row>
    <row r="28" spans="1:8" ht="15.75" customHeight="1" x14ac:dyDescent="0.25">
      <c r="A28" t="s">
        <v>214</v>
      </c>
      <c r="B28" s="33">
        <v>3</v>
      </c>
      <c r="C28" t="s">
        <v>184</v>
      </c>
      <c r="D28" t="s">
        <v>12</v>
      </c>
      <c r="E28" s="28" t="str">
        <f>IFERROR(ROUNDUP('Dados do Forms'!X1,0),"")</f>
        <v/>
      </c>
      <c r="F28" s="33" t="str">
        <f t="shared" si="2"/>
        <v/>
      </c>
      <c r="G28" s="33" t="str">
        <f t="shared" si="0"/>
        <v/>
      </c>
      <c r="H28" s="33" t="str">
        <f t="shared" si="1"/>
        <v/>
      </c>
    </row>
    <row r="29" spans="1:8" ht="15.75" customHeight="1" x14ac:dyDescent="0.25">
      <c r="A29" s="92" t="s">
        <v>215</v>
      </c>
      <c r="B29" s="35">
        <v>1</v>
      </c>
      <c r="C29" s="92" t="s">
        <v>185</v>
      </c>
      <c r="D29" s="92" t="s">
        <v>14</v>
      </c>
      <c r="E29" s="28" t="str">
        <f>IFERROR(ROUNDUP('Dados do Forms'!Y1,0),"")</f>
        <v/>
      </c>
      <c r="F29" s="35" t="str">
        <f t="shared" si="2"/>
        <v/>
      </c>
      <c r="G29" s="35" t="str">
        <f t="shared" si="0"/>
        <v/>
      </c>
      <c r="H29" s="35" t="str">
        <f t="shared" si="1"/>
        <v/>
      </c>
    </row>
    <row r="30" spans="1:8" ht="15.75" customHeight="1" x14ac:dyDescent="0.25">
      <c r="A30" s="92" t="s">
        <v>215</v>
      </c>
      <c r="B30" s="33">
        <v>2</v>
      </c>
      <c r="C30" s="92" t="s">
        <v>186</v>
      </c>
      <c r="D30" s="92" t="s">
        <v>14</v>
      </c>
      <c r="E30" s="28" t="str">
        <f>IFERROR(ROUNDUP('Dados do Forms'!Z1,0),"")</f>
        <v/>
      </c>
      <c r="F30" s="33" t="str">
        <f t="shared" si="2"/>
        <v/>
      </c>
      <c r="G30" s="33" t="str">
        <f t="shared" si="0"/>
        <v/>
      </c>
      <c r="H30" s="33" t="str">
        <f t="shared" si="1"/>
        <v/>
      </c>
    </row>
    <row r="31" spans="1:8" ht="15.75" customHeight="1" x14ac:dyDescent="0.25">
      <c r="A31" s="92" t="s">
        <v>215</v>
      </c>
      <c r="B31" s="35">
        <v>3</v>
      </c>
      <c r="C31" s="92" t="s">
        <v>23</v>
      </c>
      <c r="D31" s="92" t="s">
        <v>12</v>
      </c>
      <c r="E31" s="28" t="str">
        <f>IFERROR(ROUNDUP('Dados do Forms'!AA1,0),"")</f>
        <v/>
      </c>
      <c r="F31" s="35" t="str">
        <f t="shared" si="2"/>
        <v/>
      </c>
      <c r="G31" s="35" t="str">
        <f t="shared" si="0"/>
        <v/>
      </c>
      <c r="H31" s="35" t="str">
        <f t="shared" si="1"/>
        <v/>
      </c>
    </row>
    <row r="32" spans="1:8" ht="15.75" customHeight="1" x14ac:dyDescent="0.25">
      <c r="A32" s="92" t="s">
        <v>215</v>
      </c>
      <c r="B32" s="33">
        <v>4</v>
      </c>
      <c r="C32" s="92" t="s">
        <v>187</v>
      </c>
      <c r="D32" s="92" t="s">
        <v>12</v>
      </c>
      <c r="E32" s="28" t="str">
        <f>IFERROR(ROUNDUP('Dados do Forms'!AB1,0),"")</f>
        <v/>
      </c>
      <c r="F32" s="33" t="str">
        <f t="shared" si="2"/>
        <v/>
      </c>
      <c r="G32" s="33" t="str">
        <f t="shared" si="0"/>
        <v/>
      </c>
      <c r="H32" s="33" t="str">
        <f t="shared" si="1"/>
        <v/>
      </c>
    </row>
    <row r="33" spans="1:8" ht="15.75" customHeight="1" x14ac:dyDescent="0.25">
      <c r="A33" s="71" t="s">
        <v>216</v>
      </c>
      <c r="B33" s="35">
        <v>1</v>
      </c>
      <c r="C33" s="71" t="s">
        <v>188</v>
      </c>
      <c r="D33" s="71" t="s">
        <v>14</v>
      </c>
      <c r="E33" s="28" t="str">
        <f>IFERROR(ROUNDUP('Dados do Forms'!AC1,0),"")</f>
        <v/>
      </c>
      <c r="F33" s="35" t="str">
        <f t="shared" si="2"/>
        <v/>
      </c>
      <c r="G33" s="35" t="str">
        <f t="shared" si="0"/>
        <v/>
      </c>
      <c r="H33" s="35" t="str">
        <f t="shared" si="1"/>
        <v/>
      </c>
    </row>
    <row r="34" spans="1:8" ht="15.75" customHeight="1" x14ac:dyDescent="0.25">
      <c r="A34" s="71" t="s">
        <v>216</v>
      </c>
      <c r="B34" s="33">
        <v>2</v>
      </c>
      <c r="C34" s="71" t="s">
        <v>20</v>
      </c>
      <c r="D34" s="71" t="s">
        <v>14</v>
      </c>
      <c r="E34" s="28" t="str">
        <f>IFERROR(ROUNDUP('Dados do Forms'!AD1,0),"")</f>
        <v/>
      </c>
      <c r="F34" s="33" t="str">
        <f t="shared" si="2"/>
        <v/>
      </c>
      <c r="G34" s="33" t="str">
        <f t="shared" si="0"/>
        <v/>
      </c>
      <c r="H34" s="33" t="str">
        <f t="shared" si="1"/>
        <v/>
      </c>
    </row>
    <row r="35" spans="1:8" ht="15.75" customHeight="1" x14ac:dyDescent="0.25">
      <c r="A35" s="71" t="s">
        <v>216</v>
      </c>
      <c r="B35" s="35">
        <v>3</v>
      </c>
      <c r="C35" s="71" t="s">
        <v>189</v>
      </c>
      <c r="D35" s="71" t="s">
        <v>14</v>
      </c>
      <c r="E35" s="28" t="str">
        <f>IFERROR(ROUNDUP('Dados do Forms'!AE1,0),"")</f>
        <v/>
      </c>
      <c r="F35" s="35" t="str">
        <f t="shared" si="2"/>
        <v/>
      </c>
      <c r="G35" s="35" t="str">
        <f t="shared" si="0"/>
        <v/>
      </c>
      <c r="H35" s="35" t="str">
        <f t="shared" si="1"/>
        <v/>
      </c>
    </row>
    <row r="36" spans="1:8" ht="15.75" customHeight="1" x14ac:dyDescent="0.25">
      <c r="A36" s="71" t="s">
        <v>216</v>
      </c>
      <c r="B36" s="33">
        <v>4</v>
      </c>
      <c r="C36" s="71" t="s">
        <v>24</v>
      </c>
      <c r="D36" s="71" t="s">
        <v>12</v>
      </c>
      <c r="E36" s="28" t="str">
        <f>IFERROR(ROUNDUP('Dados do Forms'!AF1,0),"")</f>
        <v/>
      </c>
      <c r="F36" s="33" t="str">
        <f t="shared" si="2"/>
        <v/>
      </c>
      <c r="G36" s="33" t="str">
        <f t="shared" si="0"/>
        <v/>
      </c>
      <c r="H36" s="33" t="str">
        <f t="shared" si="1"/>
        <v/>
      </c>
    </row>
    <row r="37" spans="1:8" ht="15.75" customHeight="1" x14ac:dyDescent="0.25">
      <c r="A37" s="92" t="s">
        <v>217</v>
      </c>
      <c r="B37" s="35">
        <v>1</v>
      </c>
      <c r="C37" s="92" t="s">
        <v>190</v>
      </c>
      <c r="D37" s="92" t="s">
        <v>12</v>
      </c>
      <c r="E37" s="28" t="str">
        <f>IFERROR(ROUNDUP('Dados do Forms'!AG1,0),"")</f>
        <v/>
      </c>
      <c r="F37" s="35" t="str">
        <f t="shared" si="2"/>
        <v/>
      </c>
      <c r="G37" s="35" t="str">
        <f t="shared" si="0"/>
        <v/>
      </c>
      <c r="H37" s="35" t="str">
        <f t="shared" si="1"/>
        <v/>
      </c>
    </row>
    <row r="38" spans="1:8" ht="15.75" customHeight="1" x14ac:dyDescent="0.25">
      <c r="A38" s="92" t="s">
        <v>217</v>
      </c>
      <c r="B38" s="33">
        <v>2</v>
      </c>
      <c r="C38" s="92" t="s">
        <v>191</v>
      </c>
      <c r="D38" s="92" t="s">
        <v>12</v>
      </c>
      <c r="E38" s="28" t="str">
        <f>IFERROR(ROUNDUP('Dados do Forms'!AH1,0),"")</f>
        <v/>
      </c>
      <c r="F38" s="33" t="str">
        <f t="shared" si="2"/>
        <v/>
      </c>
      <c r="G38" s="33" t="str">
        <f t="shared" si="0"/>
        <v/>
      </c>
      <c r="H38" s="33" t="str">
        <f t="shared" si="1"/>
        <v/>
      </c>
    </row>
    <row r="39" spans="1:8" ht="15.75" customHeight="1" x14ac:dyDescent="0.25">
      <c r="A39" s="92" t="s">
        <v>217</v>
      </c>
      <c r="B39" s="35">
        <v>3</v>
      </c>
      <c r="C39" s="92" t="s">
        <v>192</v>
      </c>
      <c r="D39" s="92" t="s">
        <v>12</v>
      </c>
      <c r="E39" s="28" t="str">
        <f>IFERROR(ROUNDUP('Dados do Forms'!AI1,0),"")</f>
        <v/>
      </c>
      <c r="F39" s="35" t="str">
        <f t="shared" si="2"/>
        <v/>
      </c>
      <c r="G39" s="35" t="str">
        <f t="shared" si="0"/>
        <v/>
      </c>
      <c r="H39" s="35" t="str">
        <f t="shared" si="1"/>
        <v/>
      </c>
    </row>
    <row r="40" spans="1:8" ht="15.75" customHeight="1" x14ac:dyDescent="0.25">
      <c r="A40" t="s">
        <v>218</v>
      </c>
      <c r="B40" s="33">
        <v>1</v>
      </c>
      <c r="C40" t="s">
        <v>193</v>
      </c>
      <c r="D40" t="s">
        <v>12</v>
      </c>
      <c r="E40" s="28" t="str">
        <f>IFERROR(ROUNDUP('Dados do Forms'!AJ1,0),"")</f>
        <v/>
      </c>
      <c r="F40" s="33" t="str">
        <f t="shared" ref="F40:F71" si="3">IF(ISNUMBER(E40), IF(D40="Invertida", 4 - E40, E40), "")</f>
        <v/>
      </c>
      <c r="G40" s="33" t="str">
        <f t="shared" si="0"/>
        <v/>
      </c>
      <c r="H40" s="33" t="str">
        <f t="shared" ref="H40:H71" si="4">IF(G40="Alta",3,IF(G40="Média",2,IF(G40="Baixa",1,"")))</f>
        <v/>
      </c>
    </row>
    <row r="41" spans="1:8" ht="15.75" customHeight="1" x14ac:dyDescent="0.25">
      <c r="A41" t="s">
        <v>218</v>
      </c>
      <c r="B41" s="35">
        <v>2</v>
      </c>
      <c r="C41" t="s">
        <v>194</v>
      </c>
      <c r="D41" t="s">
        <v>12</v>
      </c>
      <c r="E41" s="28" t="str">
        <f>IFERROR(ROUNDUP('Dados do Forms'!AK1,0),"")</f>
        <v/>
      </c>
      <c r="F41" s="35" t="str">
        <f t="shared" si="3"/>
        <v/>
      </c>
      <c r="G41" s="35" t="str">
        <f t="shared" si="0"/>
        <v/>
      </c>
      <c r="H41" s="35" t="str">
        <f t="shared" si="4"/>
        <v/>
      </c>
    </row>
    <row r="42" spans="1:8" ht="15.75" customHeight="1" x14ac:dyDescent="0.25">
      <c r="A42" t="s">
        <v>218</v>
      </c>
      <c r="B42" s="33">
        <v>3</v>
      </c>
      <c r="C42" t="s">
        <v>195</v>
      </c>
      <c r="D42" t="s">
        <v>12</v>
      </c>
      <c r="E42" s="28" t="str">
        <f>IFERROR(ROUNDUP('Dados do Forms'!AL1,0),"")</f>
        <v/>
      </c>
      <c r="F42" s="33" t="str">
        <f t="shared" si="3"/>
        <v/>
      </c>
      <c r="G42" s="33" t="str">
        <f t="shared" si="0"/>
        <v/>
      </c>
      <c r="H42" s="33" t="str">
        <f t="shared" si="4"/>
        <v/>
      </c>
    </row>
    <row r="43" spans="1:8" ht="15.75" customHeight="1" x14ac:dyDescent="0.25">
      <c r="A43" t="s">
        <v>218</v>
      </c>
      <c r="B43" s="35">
        <v>4</v>
      </c>
      <c r="C43" t="s">
        <v>196</v>
      </c>
      <c r="D43" t="s">
        <v>12</v>
      </c>
      <c r="E43" s="28" t="str">
        <f>IFERROR(ROUNDUP('Dados do Forms'!AM1,0),"")</f>
        <v/>
      </c>
      <c r="F43" s="35" t="str">
        <f t="shared" si="3"/>
        <v/>
      </c>
      <c r="G43" s="35" t="str">
        <f t="shared" si="0"/>
        <v/>
      </c>
      <c r="H43" s="35" t="str">
        <f t="shared" si="4"/>
        <v/>
      </c>
    </row>
    <row r="44" spans="1:8" ht="15.75" customHeight="1" x14ac:dyDescent="0.25">
      <c r="A44" s="92" t="s">
        <v>219</v>
      </c>
      <c r="B44" s="33">
        <v>1</v>
      </c>
      <c r="C44" s="92" t="s">
        <v>197</v>
      </c>
      <c r="D44" s="92" t="s">
        <v>12</v>
      </c>
      <c r="E44" s="28" t="str">
        <f>IFERROR(ROUNDUP('Dados do Forms'!AN1,0),"")</f>
        <v/>
      </c>
      <c r="F44" s="33" t="str">
        <f t="shared" si="3"/>
        <v/>
      </c>
      <c r="G44" s="33" t="str">
        <f t="shared" si="0"/>
        <v/>
      </c>
      <c r="H44" s="33" t="str">
        <f t="shared" si="4"/>
        <v/>
      </c>
    </row>
    <row r="45" spans="1:8" ht="15.75" customHeight="1" x14ac:dyDescent="0.25">
      <c r="A45" s="92" t="s">
        <v>219</v>
      </c>
      <c r="B45" s="35">
        <v>2</v>
      </c>
      <c r="C45" s="92" t="s">
        <v>18</v>
      </c>
      <c r="D45" s="92" t="s">
        <v>12</v>
      </c>
      <c r="E45" s="28" t="str">
        <f>IFERROR(ROUNDUP('Dados do Forms'!AO1,0),"")</f>
        <v/>
      </c>
      <c r="F45" s="35" t="str">
        <f t="shared" si="3"/>
        <v/>
      </c>
      <c r="G45" s="35" t="str">
        <f t="shared" si="0"/>
        <v/>
      </c>
      <c r="H45" s="35" t="str">
        <f t="shared" si="4"/>
        <v/>
      </c>
    </row>
    <row r="46" spans="1:8" ht="15.75" customHeight="1" x14ac:dyDescent="0.25">
      <c r="A46" s="92" t="s">
        <v>219</v>
      </c>
      <c r="B46" s="33">
        <v>3</v>
      </c>
      <c r="C46" s="92" t="s">
        <v>198</v>
      </c>
      <c r="D46" s="92" t="s">
        <v>12</v>
      </c>
      <c r="E46" s="28" t="str">
        <f>IFERROR(ROUNDUP('Dados do Forms'!AP1,0),"")</f>
        <v/>
      </c>
      <c r="F46" s="33" t="str">
        <f t="shared" si="3"/>
        <v/>
      </c>
      <c r="G46" s="33" t="str">
        <f t="shared" si="0"/>
        <v/>
      </c>
      <c r="H46" s="33" t="str">
        <f t="shared" si="4"/>
        <v/>
      </c>
    </row>
    <row r="47" spans="1:8" ht="15.75" customHeight="1" x14ac:dyDescent="0.25">
      <c r="A47" s="92" t="s">
        <v>219</v>
      </c>
      <c r="B47" s="35">
        <v>4</v>
      </c>
      <c r="C47" s="92" t="s">
        <v>199</v>
      </c>
      <c r="D47" s="92" t="s">
        <v>14</v>
      </c>
      <c r="E47" s="28" t="str">
        <f>IFERROR(ROUNDUP('Dados do Forms'!AQ1,0),"")</f>
        <v/>
      </c>
      <c r="F47" s="35" t="str">
        <f t="shared" si="3"/>
        <v/>
      </c>
      <c r="G47" s="35" t="str">
        <f t="shared" si="0"/>
        <v/>
      </c>
      <c r="H47" s="35" t="str">
        <f t="shared" si="4"/>
        <v/>
      </c>
    </row>
    <row r="48" spans="1:8" ht="15.75" customHeight="1" x14ac:dyDescent="0.25">
      <c r="A48" t="s">
        <v>220</v>
      </c>
      <c r="B48" s="33">
        <v>1</v>
      </c>
      <c r="C48" t="s">
        <v>200</v>
      </c>
      <c r="D48" t="s">
        <v>12</v>
      </c>
      <c r="E48" s="28" t="str">
        <f>IFERROR(ROUNDUP('Dados do Forms'!AR1,0),"")</f>
        <v/>
      </c>
      <c r="F48" s="33" t="str">
        <f t="shared" si="3"/>
        <v/>
      </c>
      <c r="G48" s="33" t="str">
        <f t="shared" si="0"/>
        <v/>
      </c>
      <c r="H48" s="33" t="str">
        <f t="shared" si="4"/>
        <v/>
      </c>
    </row>
    <row r="49" spans="1:8" ht="15.75" customHeight="1" x14ac:dyDescent="0.25">
      <c r="A49" t="s">
        <v>220</v>
      </c>
      <c r="B49" s="35">
        <v>2</v>
      </c>
      <c r="C49" t="s">
        <v>201</v>
      </c>
      <c r="D49" t="s">
        <v>12</v>
      </c>
      <c r="E49" s="28" t="str">
        <f>IFERROR(ROUNDUP('Dados do Forms'!AS1,0),"")</f>
        <v/>
      </c>
      <c r="F49" s="35" t="str">
        <f t="shared" si="3"/>
        <v/>
      </c>
      <c r="G49" s="35" t="str">
        <f t="shared" si="0"/>
        <v/>
      </c>
      <c r="H49" s="35" t="str">
        <f t="shared" si="4"/>
        <v/>
      </c>
    </row>
    <row r="50" spans="1:8" ht="15.75" customHeight="1" x14ac:dyDescent="0.25">
      <c r="A50" t="s">
        <v>220</v>
      </c>
      <c r="B50" s="33">
        <v>3</v>
      </c>
      <c r="C50" t="s">
        <v>202</v>
      </c>
      <c r="D50" t="s">
        <v>14</v>
      </c>
      <c r="E50" s="28" t="str">
        <f>IFERROR(ROUNDUP('Dados do Forms'!AT1,0),"")</f>
        <v/>
      </c>
      <c r="F50" s="33" t="str">
        <f t="shared" si="3"/>
        <v/>
      </c>
      <c r="G50" s="33" t="str">
        <f t="shared" si="0"/>
        <v/>
      </c>
      <c r="H50" s="33" t="str">
        <f t="shared" si="4"/>
        <v/>
      </c>
    </row>
    <row r="51" spans="1:8" ht="15.75" customHeight="1" x14ac:dyDescent="0.25">
      <c r="A51" s="92" t="s">
        <v>221</v>
      </c>
      <c r="B51" s="35">
        <v>4</v>
      </c>
      <c r="C51" s="92" t="s">
        <v>203</v>
      </c>
      <c r="D51" s="92" t="s">
        <v>12</v>
      </c>
      <c r="E51" s="28" t="str">
        <f>IFERROR(ROUNDUP('Dados do Forms'!AU1,0),"")</f>
        <v/>
      </c>
      <c r="F51" s="35" t="str">
        <f t="shared" si="3"/>
        <v/>
      </c>
      <c r="G51" s="35" t="str">
        <f t="shared" si="0"/>
        <v/>
      </c>
      <c r="H51" s="35" t="str">
        <f t="shared" si="4"/>
        <v/>
      </c>
    </row>
    <row r="52" spans="1:8" ht="15.75" customHeight="1" x14ac:dyDescent="0.25">
      <c r="A52" s="92" t="s">
        <v>221</v>
      </c>
      <c r="B52" s="33">
        <v>5</v>
      </c>
      <c r="C52" s="92" t="s">
        <v>204</v>
      </c>
      <c r="D52" s="92" t="s">
        <v>12</v>
      </c>
      <c r="E52" s="28" t="str">
        <f>IFERROR(ROUNDUP('Dados do Forms'!AV1,0),"")</f>
        <v/>
      </c>
      <c r="F52" s="33" t="str">
        <f t="shared" si="3"/>
        <v/>
      </c>
      <c r="G52" s="33" t="str">
        <f t="shared" si="0"/>
        <v/>
      </c>
      <c r="H52" s="33" t="str">
        <f t="shared" si="4"/>
        <v/>
      </c>
    </row>
    <row r="53" spans="1:8" ht="15.75" customHeight="1" x14ac:dyDescent="0.25">
      <c r="A53" s="92" t="s">
        <v>221</v>
      </c>
      <c r="B53" s="35">
        <v>6</v>
      </c>
      <c r="C53" s="92" t="s">
        <v>205</v>
      </c>
      <c r="D53" s="92" t="s">
        <v>12</v>
      </c>
      <c r="E53" s="28" t="str">
        <f>IFERROR(ROUNDUP('Dados do Forms'!AW1,0),"")</f>
        <v/>
      </c>
      <c r="F53" s="35" t="str">
        <f t="shared" si="3"/>
        <v/>
      </c>
      <c r="G53" s="35" t="str">
        <f t="shared" si="0"/>
        <v/>
      </c>
      <c r="H53" s="35" t="str">
        <f t="shared" si="4"/>
        <v/>
      </c>
    </row>
    <row r="54" spans="1:8" ht="15.75" customHeight="1" x14ac:dyDescent="0.25">
      <c r="A54" s="92" t="s">
        <v>221</v>
      </c>
      <c r="B54" s="33">
        <v>7</v>
      </c>
      <c r="C54" s="92" t="s">
        <v>206</v>
      </c>
      <c r="D54" s="92" t="s">
        <v>14</v>
      </c>
      <c r="E54" s="28" t="str">
        <f>IFERROR(ROUNDUP('Dados do Forms'!AX1,0),"")</f>
        <v/>
      </c>
      <c r="F54" s="33" t="str">
        <f t="shared" si="3"/>
        <v/>
      </c>
      <c r="G54" s="33" t="str">
        <f t="shared" si="0"/>
        <v/>
      </c>
      <c r="H54" s="33" t="str">
        <f t="shared" si="4"/>
        <v/>
      </c>
    </row>
    <row r="55" spans="1:8" ht="15.75" customHeight="1" x14ac:dyDescent="0.25">
      <c r="A55" t="s">
        <v>222</v>
      </c>
      <c r="B55" s="35">
        <v>1</v>
      </c>
      <c r="C55" t="s">
        <v>207</v>
      </c>
      <c r="D55" t="s">
        <v>12</v>
      </c>
      <c r="E55" s="28" t="str">
        <f>IFERROR(ROUNDUP('Dados do Forms'!AY1,0),"")</f>
        <v/>
      </c>
      <c r="F55" s="35" t="str">
        <f t="shared" si="3"/>
        <v/>
      </c>
      <c r="G55" s="35" t="str">
        <f t="shared" si="0"/>
        <v/>
      </c>
      <c r="H55" s="35" t="str">
        <f t="shared" si="4"/>
        <v/>
      </c>
    </row>
    <row r="56" spans="1:8" ht="15.75" customHeight="1" x14ac:dyDescent="0.25">
      <c r="A56" t="s">
        <v>222</v>
      </c>
      <c r="B56" s="33">
        <v>2</v>
      </c>
      <c r="C56" t="s">
        <v>208</v>
      </c>
      <c r="D56" t="s">
        <v>12</v>
      </c>
      <c r="E56" s="28" t="str">
        <f>IFERROR(ROUNDUP('Dados do Forms'!AZ1,0),"")</f>
        <v/>
      </c>
      <c r="F56" s="33" t="str">
        <f t="shared" si="3"/>
        <v/>
      </c>
      <c r="G56" s="33" t="str">
        <f t="shared" si="0"/>
        <v/>
      </c>
      <c r="H56" s="33" t="str">
        <f t="shared" si="4"/>
        <v/>
      </c>
    </row>
    <row r="57" spans="1:8" ht="15.75" customHeight="1" x14ac:dyDescent="0.25">
      <c r="A57" t="s">
        <v>222</v>
      </c>
      <c r="B57" s="35">
        <v>3</v>
      </c>
      <c r="C57" t="s">
        <v>209</v>
      </c>
      <c r="D57" t="s">
        <v>14</v>
      </c>
      <c r="E57" s="28" t="str">
        <f>IFERROR(ROUNDUP('Dados do Forms'!BA1,0),"")</f>
        <v/>
      </c>
      <c r="F57" s="35" t="str">
        <f t="shared" si="3"/>
        <v/>
      </c>
      <c r="G57" s="35" t="str">
        <f t="shared" si="0"/>
        <v/>
      </c>
      <c r="H57" s="35" t="str">
        <f t="shared" si="4"/>
        <v/>
      </c>
    </row>
    <row r="58" spans="1:8" ht="15.75" customHeight="1" x14ac:dyDescent="0.25">
      <c r="A58" s="32"/>
      <c r="B58" s="33"/>
      <c r="C58" s="34"/>
      <c r="D58" s="33"/>
      <c r="E58" s="28" t="str">
        <f>IFERROR(ROUNDUP('Dados do Forms'!BB1,0),"")</f>
        <v/>
      </c>
      <c r="F58" s="33" t="str">
        <f t="shared" si="3"/>
        <v/>
      </c>
      <c r="G58" s="33" t="str">
        <f t="shared" si="0"/>
        <v/>
      </c>
      <c r="H58" s="33" t="str">
        <f t="shared" si="4"/>
        <v/>
      </c>
    </row>
    <row r="59" spans="1:8" ht="15.75" customHeight="1" x14ac:dyDescent="0.25">
      <c r="A59" s="36"/>
      <c r="B59" s="35"/>
      <c r="C59" s="37"/>
      <c r="D59" s="35"/>
      <c r="E59" s="28" t="str">
        <f>IFERROR(ROUNDUP('Dados do Forms'!BC1,0),"")</f>
        <v/>
      </c>
      <c r="F59" s="35" t="str">
        <f t="shared" si="3"/>
        <v/>
      </c>
      <c r="G59" s="35" t="str">
        <f t="shared" si="0"/>
        <v/>
      </c>
      <c r="H59" s="35" t="str">
        <f t="shared" si="4"/>
        <v/>
      </c>
    </row>
    <row r="60" spans="1:8" ht="15.75" customHeight="1" x14ac:dyDescent="0.25">
      <c r="A60" s="32"/>
      <c r="B60" s="33"/>
      <c r="C60" s="34"/>
      <c r="D60" s="33"/>
      <c r="E60" s="28" t="str">
        <f>IFERROR(ROUNDUP('Dados do Forms'!BD1,0),"")</f>
        <v/>
      </c>
      <c r="F60" s="33" t="str">
        <f t="shared" si="3"/>
        <v/>
      </c>
      <c r="G60" s="33" t="str">
        <f t="shared" si="0"/>
        <v/>
      </c>
      <c r="H60" s="33" t="str">
        <f t="shared" si="4"/>
        <v/>
      </c>
    </row>
    <row r="61" spans="1:8" ht="15.75" customHeight="1" x14ac:dyDescent="0.25">
      <c r="A61" s="36"/>
      <c r="B61" s="35"/>
      <c r="C61" s="37"/>
      <c r="D61" s="35"/>
      <c r="E61" s="28" t="str">
        <f>IFERROR(ROUNDUP('Dados do Forms'!BE1,0),"")</f>
        <v/>
      </c>
      <c r="F61" s="35" t="str">
        <f t="shared" si="3"/>
        <v/>
      </c>
      <c r="G61" s="35" t="str">
        <f t="shared" si="0"/>
        <v/>
      </c>
      <c r="H61" s="35" t="str">
        <f t="shared" si="4"/>
        <v/>
      </c>
    </row>
    <row r="62" spans="1:8" ht="15.75" customHeight="1" x14ac:dyDescent="0.25">
      <c r="A62" s="32"/>
      <c r="B62" s="33"/>
      <c r="C62" s="34"/>
      <c r="D62" s="33"/>
      <c r="E62" s="28" t="str">
        <f>IFERROR(ROUNDUP('Dados do Forms'!BF1,0),"")</f>
        <v/>
      </c>
      <c r="F62" s="33" t="str">
        <f t="shared" si="3"/>
        <v/>
      </c>
      <c r="G62" s="33" t="str">
        <f t="shared" si="0"/>
        <v/>
      </c>
      <c r="H62" s="33" t="str">
        <f t="shared" si="4"/>
        <v/>
      </c>
    </row>
    <row r="63" spans="1:8" ht="15.75" customHeight="1" x14ac:dyDescent="0.25">
      <c r="A63" s="36"/>
      <c r="B63" s="35"/>
      <c r="C63" s="37"/>
      <c r="D63" s="35"/>
      <c r="E63" s="28" t="str">
        <f>IFERROR(ROUNDUP('Dados do Forms'!BG1,0),"")</f>
        <v/>
      </c>
      <c r="F63" s="35" t="str">
        <f t="shared" si="3"/>
        <v/>
      </c>
      <c r="G63" s="35" t="str">
        <f t="shared" si="0"/>
        <v/>
      </c>
      <c r="H63" s="35" t="str">
        <f t="shared" si="4"/>
        <v/>
      </c>
    </row>
    <row r="64" spans="1:8" ht="15.75" customHeight="1" x14ac:dyDescent="0.25">
      <c r="A64" s="32"/>
      <c r="B64" s="33"/>
      <c r="C64" s="34"/>
      <c r="D64" s="33"/>
      <c r="E64" s="28" t="str">
        <f>IFERROR(ROUNDUP('Dados do Forms'!BH1,0),"")</f>
        <v/>
      </c>
      <c r="F64" s="33" t="str">
        <f t="shared" si="3"/>
        <v/>
      </c>
      <c r="G64" s="33" t="str">
        <f t="shared" si="0"/>
        <v/>
      </c>
      <c r="H64" s="33" t="str">
        <f t="shared" si="4"/>
        <v/>
      </c>
    </row>
    <row r="65" spans="1:8" ht="15.75" customHeight="1" x14ac:dyDescent="0.25">
      <c r="A65" s="36"/>
      <c r="B65" s="35"/>
      <c r="C65" s="37"/>
      <c r="D65" s="35"/>
      <c r="E65" s="28" t="str">
        <f>IFERROR(ROUNDUP('Dados do Forms'!BI1,0),"")</f>
        <v/>
      </c>
      <c r="F65" s="35" t="str">
        <f t="shared" si="3"/>
        <v/>
      </c>
      <c r="G65" s="35" t="str">
        <f t="shared" si="0"/>
        <v/>
      </c>
      <c r="H65" s="35" t="str">
        <f t="shared" si="4"/>
        <v/>
      </c>
    </row>
    <row r="66" spans="1:8" ht="15.75" customHeight="1" x14ac:dyDescent="0.25">
      <c r="A66" s="32"/>
      <c r="B66" s="33"/>
      <c r="C66" s="34"/>
      <c r="D66" s="33"/>
      <c r="E66" s="28" t="str">
        <f>IFERROR(ROUNDUP('Dados do Forms'!BJ1,0),"")</f>
        <v/>
      </c>
      <c r="F66" s="33" t="str">
        <f t="shared" si="3"/>
        <v/>
      </c>
      <c r="G66" s="33" t="str">
        <f t="shared" si="0"/>
        <v/>
      </c>
      <c r="H66" s="33" t="str">
        <f t="shared" si="4"/>
        <v/>
      </c>
    </row>
    <row r="67" spans="1:8" ht="15.75" customHeight="1" x14ac:dyDescent="0.25">
      <c r="A67" s="36"/>
      <c r="B67" s="35"/>
      <c r="C67" s="37"/>
      <c r="D67" s="35"/>
      <c r="E67" s="28" t="str">
        <f>IFERROR(ROUNDUP('Dados do Forms'!BK1,0),"")</f>
        <v/>
      </c>
      <c r="F67" s="35" t="str">
        <f t="shared" si="3"/>
        <v/>
      </c>
      <c r="G67" s="35" t="str">
        <f t="shared" si="0"/>
        <v/>
      </c>
      <c r="H67" s="35" t="str">
        <f t="shared" si="4"/>
        <v/>
      </c>
    </row>
    <row r="68" spans="1:8" ht="15.75" customHeight="1" x14ac:dyDescent="0.25">
      <c r="A68" s="32"/>
      <c r="B68" s="33"/>
      <c r="C68" s="34"/>
      <c r="D68" s="33"/>
      <c r="E68" s="28" t="str">
        <f>IFERROR(ROUNDUP('Dados do Forms'!BL1,0),"")</f>
        <v/>
      </c>
      <c r="F68" s="33" t="str">
        <f t="shared" si="3"/>
        <v/>
      </c>
      <c r="G68" s="33" t="str">
        <f t="shared" si="0"/>
        <v/>
      </c>
      <c r="H68" s="33" t="str">
        <f t="shared" si="4"/>
        <v/>
      </c>
    </row>
    <row r="69" spans="1:8" ht="15.75" customHeight="1" x14ac:dyDescent="0.25">
      <c r="A69" s="36"/>
      <c r="B69" s="35"/>
      <c r="C69" s="37"/>
      <c r="D69" s="35"/>
      <c r="E69" s="28" t="str">
        <f>IFERROR(ROUNDUP('Dados do Forms'!BM1,0),"")</f>
        <v/>
      </c>
      <c r="F69" s="35" t="str">
        <f t="shared" si="3"/>
        <v/>
      </c>
      <c r="G69" s="35" t="str">
        <f t="shared" si="0"/>
        <v/>
      </c>
      <c r="H69" s="35" t="str">
        <f t="shared" si="4"/>
        <v/>
      </c>
    </row>
    <row r="70" spans="1:8" ht="15.75" customHeight="1" x14ac:dyDescent="0.25">
      <c r="A70" s="32"/>
      <c r="B70" s="33"/>
      <c r="C70" s="34"/>
      <c r="D70" s="33"/>
      <c r="E70" s="28" t="str">
        <f>IFERROR(ROUNDUP('Dados do Forms'!BN1,0),"")</f>
        <v/>
      </c>
      <c r="F70" s="33" t="str">
        <f t="shared" si="3"/>
        <v/>
      </c>
      <c r="G70" s="33" t="str">
        <f t="shared" si="0"/>
        <v/>
      </c>
      <c r="H70" s="33" t="str">
        <f t="shared" si="4"/>
        <v/>
      </c>
    </row>
    <row r="71" spans="1:8" ht="15.75" customHeight="1" x14ac:dyDescent="0.25">
      <c r="A71" s="36"/>
      <c r="B71" s="35"/>
      <c r="C71" s="37"/>
      <c r="D71" s="35"/>
      <c r="E71" s="28" t="str">
        <f>IFERROR(ROUNDUP('Dados do Forms'!BO1,0),"")</f>
        <v/>
      </c>
      <c r="F71" s="35" t="str">
        <f t="shared" si="3"/>
        <v/>
      </c>
      <c r="G71" s="35" t="str">
        <f t="shared" si="0"/>
        <v/>
      </c>
      <c r="H71" s="35" t="str">
        <f t="shared" si="4"/>
        <v/>
      </c>
    </row>
    <row r="72" spans="1:8" ht="15.75" customHeight="1" x14ac:dyDescent="0.25">
      <c r="A72" s="32"/>
      <c r="B72" s="33"/>
      <c r="C72" s="34"/>
      <c r="D72" s="33"/>
      <c r="E72" s="28" t="str">
        <f>IFERROR(ROUNDUP('Dados do Forms'!BP1,0),"")</f>
        <v/>
      </c>
      <c r="F72" s="33" t="str">
        <f t="shared" ref="F72:F96" si="5">IF(ISNUMBER(E72), IF(D72="Invertida", 4 - E72, E72), "")</f>
        <v/>
      </c>
      <c r="G72" s="33" t="str">
        <f t="shared" si="0"/>
        <v/>
      </c>
      <c r="H72" s="33" t="str">
        <f t="shared" ref="H72:H97" si="6">IF(G72="Alta",3,IF(G72="Média",2,IF(G72="Baixa",1,"")))</f>
        <v/>
      </c>
    </row>
    <row r="73" spans="1:8" ht="15.75" customHeight="1" x14ac:dyDescent="0.25">
      <c r="A73" s="36"/>
      <c r="B73" s="35"/>
      <c r="C73" s="37"/>
      <c r="D73" s="35"/>
      <c r="E73" s="28" t="str">
        <f>IFERROR(ROUNDUP('Dados do Forms'!BQ1,0),"")</f>
        <v/>
      </c>
      <c r="F73" s="35" t="str">
        <f t="shared" si="5"/>
        <v/>
      </c>
      <c r="G73" s="35" t="str">
        <f t="shared" si="0"/>
        <v/>
      </c>
      <c r="H73" s="35" t="str">
        <f t="shared" si="6"/>
        <v/>
      </c>
    </row>
    <row r="74" spans="1:8" ht="15.75" customHeight="1" x14ac:dyDescent="0.25">
      <c r="A74" s="32"/>
      <c r="B74" s="33"/>
      <c r="C74" s="34"/>
      <c r="D74" s="33"/>
      <c r="E74" s="28" t="str">
        <f>IFERROR(ROUNDUP('Dados do Forms'!BR1,0),"")</f>
        <v/>
      </c>
      <c r="F74" s="33" t="str">
        <f t="shared" si="5"/>
        <v/>
      </c>
      <c r="G74" s="33" t="str">
        <f t="shared" si="0"/>
        <v/>
      </c>
      <c r="H74" s="33" t="str">
        <f t="shared" si="6"/>
        <v/>
      </c>
    </row>
    <row r="75" spans="1:8" ht="15.75" customHeight="1" x14ac:dyDescent="0.25">
      <c r="A75" s="36"/>
      <c r="B75" s="35"/>
      <c r="C75" s="37"/>
      <c r="D75" s="35"/>
      <c r="E75" s="28" t="str">
        <f>IFERROR(ROUNDUP('Dados do Forms'!BS1,0),"")</f>
        <v/>
      </c>
      <c r="F75" s="35" t="str">
        <f t="shared" si="5"/>
        <v/>
      </c>
      <c r="G75" s="35" t="str">
        <f t="shared" si="0"/>
        <v/>
      </c>
      <c r="H75" s="35" t="str">
        <f t="shared" si="6"/>
        <v/>
      </c>
    </row>
    <row r="76" spans="1:8" ht="15.75" customHeight="1" x14ac:dyDescent="0.25">
      <c r="A76" s="32"/>
      <c r="B76" s="33"/>
      <c r="C76" s="34"/>
      <c r="D76" s="33"/>
      <c r="E76" s="28" t="str">
        <f>IFERROR(ROUNDUP('Dados do Forms'!BT1,0),"")</f>
        <v/>
      </c>
      <c r="F76" s="33" t="str">
        <f t="shared" si="5"/>
        <v/>
      </c>
      <c r="G76" s="33" t="str">
        <f t="shared" si="0"/>
        <v/>
      </c>
      <c r="H76" s="33" t="str">
        <f t="shared" si="6"/>
        <v/>
      </c>
    </row>
    <row r="77" spans="1:8" ht="15.75" customHeight="1" x14ac:dyDescent="0.25">
      <c r="A77" s="36"/>
      <c r="B77" s="35"/>
      <c r="C77" s="37"/>
      <c r="D77" s="35"/>
      <c r="E77" s="28" t="str">
        <f>IFERROR(ROUNDUP('Dados do Forms'!BU1,0),"")</f>
        <v/>
      </c>
      <c r="F77" s="35" t="str">
        <f t="shared" si="5"/>
        <v/>
      </c>
      <c r="G77" s="35" t="str">
        <f t="shared" si="0"/>
        <v/>
      </c>
      <c r="H77" s="35" t="str">
        <f t="shared" si="6"/>
        <v/>
      </c>
    </row>
    <row r="78" spans="1:8" ht="15.75" customHeight="1" x14ac:dyDescent="0.25">
      <c r="A78" s="32"/>
      <c r="B78" s="33"/>
      <c r="C78" s="34"/>
      <c r="D78" s="33"/>
      <c r="E78" s="28" t="str">
        <f>IFERROR(ROUNDUP('Dados do Forms'!BV1,0),"")</f>
        <v/>
      </c>
      <c r="F78" s="33" t="str">
        <f t="shared" si="5"/>
        <v/>
      </c>
      <c r="G78" s="33" t="str">
        <f t="shared" si="0"/>
        <v/>
      </c>
      <c r="H78" s="33" t="str">
        <f t="shared" si="6"/>
        <v/>
      </c>
    </row>
    <row r="79" spans="1:8" ht="15.75" customHeight="1" x14ac:dyDescent="0.25">
      <c r="A79" s="36"/>
      <c r="B79" s="35"/>
      <c r="C79" s="37"/>
      <c r="D79" s="35"/>
      <c r="E79" s="28" t="str">
        <f>IFERROR(ROUNDUP('Dados do Forms'!BW1,0),"")</f>
        <v/>
      </c>
      <c r="F79" s="35" t="str">
        <f t="shared" si="5"/>
        <v/>
      </c>
      <c r="G79" s="35" t="str">
        <f t="shared" si="0"/>
        <v/>
      </c>
      <c r="H79" s="35" t="str">
        <f t="shared" si="6"/>
        <v/>
      </c>
    </row>
    <row r="80" spans="1:8" ht="15.75" customHeight="1" x14ac:dyDescent="0.25">
      <c r="A80" s="32"/>
      <c r="B80" s="33"/>
      <c r="C80" s="34"/>
      <c r="D80" s="33"/>
      <c r="E80" s="28" t="str">
        <f>IFERROR(ROUNDUP('Dados do Forms'!BX1,0),"")</f>
        <v/>
      </c>
      <c r="F80" s="33" t="str">
        <f t="shared" si="5"/>
        <v/>
      </c>
      <c r="G80" s="33" t="str">
        <f t="shared" si="0"/>
        <v/>
      </c>
      <c r="H80" s="33" t="str">
        <f t="shared" si="6"/>
        <v/>
      </c>
    </row>
    <row r="81" spans="1:8" ht="15.75" customHeight="1" x14ac:dyDescent="0.25">
      <c r="A81" s="36"/>
      <c r="B81" s="35"/>
      <c r="C81" s="37"/>
      <c r="D81" s="35"/>
      <c r="E81" s="28" t="str">
        <f>IFERROR(ROUNDUP('Dados do Forms'!BY1,0),"")</f>
        <v/>
      </c>
      <c r="F81" s="35" t="str">
        <f t="shared" si="5"/>
        <v/>
      </c>
      <c r="G81" s="35" t="str">
        <f t="shared" si="0"/>
        <v/>
      </c>
      <c r="H81" s="35" t="str">
        <f t="shared" si="6"/>
        <v/>
      </c>
    </row>
    <row r="82" spans="1:8" ht="15.75" customHeight="1" x14ac:dyDescent="0.25">
      <c r="A82" s="32"/>
      <c r="B82" s="33"/>
      <c r="C82" s="34"/>
      <c r="D82" s="33"/>
      <c r="E82" s="28" t="str">
        <f>IFERROR(ROUNDUP('Dados do Forms'!BZ1,0),"")</f>
        <v/>
      </c>
      <c r="F82" s="33" t="str">
        <f t="shared" si="5"/>
        <v/>
      </c>
      <c r="G82" s="33" t="str">
        <f t="shared" si="0"/>
        <v/>
      </c>
      <c r="H82" s="33" t="str">
        <f t="shared" si="6"/>
        <v/>
      </c>
    </row>
    <row r="83" spans="1:8" ht="15.75" customHeight="1" x14ac:dyDescent="0.25">
      <c r="A83" s="36"/>
      <c r="B83" s="35"/>
      <c r="C83" s="37"/>
      <c r="D83" s="35"/>
      <c r="E83" s="28" t="str">
        <f>IFERROR(ROUNDUP('Dados do Forms'!CA1,0),"")</f>
        <v/>
      </c>
      <c r="F83" s="35" t="str">
        <f t="shared" si="5"/>
        <v/>
      </c>
      <c r="G83" s="35" t="str">
        <f t="shared" si="0"/>
        <v/>
      </c>
      <c r="H83" s="35" t="str">
        <f t="shared" si="6"/>
        <v/>
      </c>
    </row>
    <row r="84" spans="1:8" ht="15.75" customHeight="1" x14ac:dyDescent="0.25">
      <c r="A84" s="32"/>
      <c r="B84" s="33"/>
      <c r="C84" s="34"/>
      <c r="D84" s="33"/>
      <c r="E84" s="28" t="str">
        <f>IFERROR(ROUNDUP('Dados do Forms'!CB1,0),"")</f>
        <v/>
      </c>
      <c r="F84" s="33" t="str">
        <f t="shared" si="5"/>
        <v/>
      </c>
      <c r="G84" s="33" t="str">
        <f t="shared" si="0"/>
        <v/>
      </c>
      <c r="H84" s="33" t="str">
        <f t="shared" si="6"/>
        <v/>
      </c>
    </row>
    <row r="85" spans="1:8" ht="15.75" customHeight="1" x14ac:dyDescent="0.25">
      <c r="A85" s="36"/>
      <c r="B85" s="35"/>
      <c r="C85" s="37"/>
      <c r="D85" s="35"/>
      <c r="E85" s="28" t="str">
        <f>IFERROR(ROUNDUP('Dados do Forms'!CC1,0),"")</f>
        <v/>
      </c>
      <c r="F85" s="35" t="str">
        <f t="shared" si="5"/>
        <v/>
      </c>
      <c r="G85" s="35" t="str">
        <f t="shared" si="0"/>
        <v/>
      </c>
      <c r="H85" s="35" t="str">
        <f t="shared" si="6"/>
        <v/>
      </c>
    </row>
    <row r="86" spans="1:8" ht="15.75" customHeight="1" x14ac:dyDescent="0.25">
      <c r="A86" s="32"/>
      <c r="B86" s="33"/>
      <c r="C86" s="34"/>
      <c r="D86" s="33"/>
      <c r="E86" s="28" t="str">
        <f>IFERROR(ROUNDUP('Dados do Forms'!CD1,0),"")</f>
        <v/>
      </c>
      <c r="F86" s="33" t="str">
        <f t="shared" si="5"/>
        <v/>
      </c>
      <c r="G86" s="33" t="str">
        <f t="shared" si="0"/>
        <v/>
      </c>
      <c r="H86" s="33" t="str">
        <f t="shared" si="6"/>
        <v/>
      </c>
    </row>
    <row r="87" spans="1:8" ht="15.75" customHeight="1" x14ac:dyDescent="0.25">
      <c r="A87" s="36"/>
      <c r="B87" s="35"/>
      <c r="C87" s="37"/>
      <c r="D87" s="35"/>
      <c r="E87" s="28" t="str">
        <f>IFERROR(ROUNDUP('Dados do Forms'!CE1,0),"")</f>
        <v/>
      </c>
      <c r="F87" s="35" t="str">
        <f t="shared" si="5"/>
        <v/>
      </c>
      <c r="G87" s="35" t="str">
        <f t="shared" si="0"/>
        <v/>
      </c>
      <c r="H87" s="35" t="str">
        <f t="shared" si="6"/>
        <v/>
      </c>
    </row>
    <row r="88" spans="1:8" ht="15.75" customHeight="1" x14ac:dyDescent="0.25">
      <c r="A88" s="32"/>
      <c r="B88" s="33"/>
      <c r="C88" s="34"/>
      <c r="D88" s="33"/>
      <c r="E88" s="28" t="str">
        <f>IFERROR(ROUNDUP('Dados do Forms'!CF1,0),"")</f>
        <v/>
      </c>
      <c r="F88" s="33" t="str">
        <f t="shared" si="5"/>
        <v/>
      </c>
      <c r="G88" s="33" t="str">
        <f t="shared" si="0"/>
        <v/>
      </c>
      <c r="H88" s="33" t="str">
        <f t="shared" si="6"/>
        <v/>
      </c>
    </row>
    <row r="89" spans="1:8" ht="15.75" customHeight="1" x14ac:dyDescent="0.25">
      <c r="A89" s="36"/>
      <c r="B89" s="35"/>
      <c r="C89" s="37"/>
      <c r="D89" s="35"/>
      <c r="E89" s="28" t="str">
        <f>IFERROR(ROUNDUP('Dados do Forms'!CG1,0),"")</f>
        <v/>
      </c>
      <c r="F89" s="35" t="str">
        <f t="shared" si="5"/>
        <v/>
      </c>
      <c r="G89" s="35" t="str">
        <f t="shared" si="0"/>
        <v/>
      </c>
      <c r="H89" s="35" t="str">
        <f t="shared" si="6"/>
        <v/>
      </c>
    </row>
    <row r="90" spans="1:8" ht="15.75" customHeight="1" x14ac:dyDescent="0.25">
      <c r="A90" s="32"/>
      <c r="B90" s="33"/>
      <c r="C90" s="34"/>
      <c r="D90" s="33"/>
      <c r="E90" s="28" t="str">
        <f>IFERROR(ROUNDUP('Dados do Forms'!CH1,0),"")</f>
        <v/>
      </c>
      <c r="F90" s="33" t="str">
        <f t="shared" si="5"/>
        <v/>
      </c>
      <c r="G90" s="33" t="str">
        <f t="shared" si="0"/>
        <v/>
      </c>
      <c r="H90" s="33" t="str">
        <f t="shared" si="6"/>
        <v/>
      </c>
    </row>
    <row r="91" spans="1:8" ht="15.75" customHeight="1" x14ac:dyDescent="0.25">
      <c r="A91" s="36"/>
      <c r="B91" s="35"/>
      <c r="C91" s="37"/>
      <c r="D91" s="35"/>
      <c r="E91" s="28" t="str">
        <f>IFERROR(ROUNDUP('Dados do Forms'!CI1,0),"")</f>
        <v/>
      </c>
      <c r="F91" s="35" t="str">
        <f t="shared" si="5"/>
        <v/>
      </c>
      <c r="G91" s="35" t="str">
        <f t="shared" si="0"/>
        <v/>
      </c>
      <c r="H91" s="35" t="str">
        <f t="shared" si="6"/>
        <v/>
      </c>
    </row>
    <row r="92" spans="1:8" ht="15.75" customHeight="1" x14ac:dyDescent="0.25">
      <c r="A92" s="32"/>
      <c r="B92" s="33"/>
      <c r="C92" s="34"/>
      <c r="D92" s="33"/>
      <c r="E92" s="28" t="str">
        <f>IFERROR(ROUNDUP('Dados do Forms'!CJ1,0),"")</f>
        <v/>
      </c>
      <c r="F92" s="33" t="str">
        <f t="shared" si="5"/>
        <v/>
      </c>
      <c r="G92" s="33" t="str">
        <f t="shared" si="0"/>
        <v/>
      </c>
      <c r="H92" s="33" t="str">
        <f t="shared" si="6"/>
        <v/>
      </c>
    </row>
    <row r="93" spans="1:8" ht="15.75" customHeight="1" x14ac:dyDescent="0.25">
      <c r="A93" s="36"/>
      <c r="B93" s="35"/>
      <c r="C93" s="37"/>
      <c r="D93" s="35"/>
      <c r="E93" s="28" t="str">
        <f>IFERROR(ROUNDUP('Dados do Forms'!CK1,0),"")</f>
        <v/>
      </c>
      <c r="F93" s="35" t="str">
        <f t="shared" si="5"/>
        <v/>
      </c>
      <c r="G93" s="35" t="str">
        <f t="shared" si="0"/>
        <v/>
      </c>
      <c r="H93" s="35" t="str">
        <f t="shared" si="6"/>
        <v/>
      </c>
    </row>
    <row r="94" spans="1:8" ht="15.75" customHeight="1" x14ac:dyDescent="0.25">
      <c r="A94" s="32"/>
      <c r="B94" s="33"/>
      <c r="C94" s="34"/>
      <c r="D94" s="33"/>
      <c r="E94" s="28" t="str">
        <f>IFERROR(ROUNDUP('Dados do Forms'!CL1,0),"")</f>
        <v/>
      </c>
      <c r="F94" s="33" t="str">
        <f t="shared" si="5"/>
        <v/>
      </c>
      <c r="G94" s="33" t="str">
        <f t="shared" si="0"/>
        <v/>
      </c>
      <c r="H94" s="33" t="str">
        <f t="shared" si="6"/>
        <v/>
      </c>
    </row>
    <row r="95" spans="1:8" ht="15.75" customHeight="1" x14ac:dyDescent="0.25">
      <c r="A95" s="36"/>
      <c r="B95" s="35"/>
      <c r="C95" s="37"/>
      <c r="D95" s="35"/>
      <c r="E95" s="28" t="str">
        <f>IFERROR(ROUNDUP('Dados do Forms'!CM1,0),"")</f>
        <v/>
      </c>
      <c r="F95" s="35" t="str">
        <f t="shared" si="5"/>
        <v/>
      </c>
      <c r="G95" s="35" t="str">
        <f t="shared" si="0"/>
        <v/>
      </c>
      <c r="H95" s="35" t="str">
        <f t="shared" si="6"/>
        <v/>
      </c>
    </row>
    <row r="96" spans="1:8" ht="15.75" customHeight="1" x14ac:dyDescent="0.25">
      <c r="A96" s="32"/>
      <c r="B96" s="33"/>
      <c r="C96" s="34"/>
      <c r="D96" s="33"/>
      <c r="E96" s="28" t="str">
        <f>IFERROR(ROUNDUP('Dados do Forms'!CN1,0),"")</f>
        <v/>
      </c>
      <c r="F96" s="33" t="str">
        <f t="shared" si="5"/>
        <v/>
      </c>
      <c r="G96" s="33" t="str">
        <f t="shared" si="0"/>
        <v/>
      </c>
      <c r="H96" s="33" t="str">
        <f t="shared" si="6"/>
        <v/>
      </c>
    </row>
    <row r="97" spans="1:8" ht="15.75" customHeight="1" x14ac:dyDescent="0.25">
      <c r="A97" s="38"/>
      <c r="B97" s="39"/>
      <c r="C97" s="40"/>
      <c r="D97" s="39"/>
      <c r="E97" s="29" t="str">
        <f>IFERROR(ROUNDUP('Dados do Forms'!CO1,0),"")</f>
        <v/>
      </c>
      <c r="F97" s="35" t="str">
        <f>IF(ISNUMBER(E97), IF(TRIM(UPPER(D97))="INVERTIDA", 4 - E97, E97), "")</f>
        <v/>
      </c>
      <c r="G97" s="39" t="str">
        <f t="shared" si="0"/>
        <v/>
      </c>
      <c r="H97" s="39" t="str">
        <f t="shared" si="6"/>
        <v/>
      </c>
    </row>
    <row r="98" spans="1:8" ht="15.75" customHeight="1" x14ac:dyDescent="0.25"/>
    <row r="99" spans="1:8" ht="15.75" customHeight="1" x14ac:dyDescent="0.25"/>
    <row r="100" spans="1:8" ht="15.75" customHeight="1" x14ac:dyDescent="0.25"/>
    <row r="101" spans="1:8" ht="15.75" customHeight="1" x14ac:dyDescent="0.25"/>
    <row r="102" spans="1:8" ht="15.75" customHeight="1" x14ac:dyDescent="0.25"/>
    <row r="103" spans="1:8" ht="15.75" customHeight="1" x14ac:dyDescent="0.25"/>
    <row r="104" spans="1:8" ht="15.75" customHeight="1" x14ac:dyDescent="0.25"/>
    <row r="105" spans="1:8" ht="15.75" customHeight="1" x14ac:dyDescent="0.25"/>
    <row r="106" spans="1:8" ht="15.75" customHeight="1" x14ac:dyDescent="0.25"/>
    <row r="107" spans="1:8" ht="15.75" customHeight="1" x14ac:dyDescent="0.25"/>
    <row r="108" spans="1:8" ht="15.75" customHeight="1" x14ac:dyDescent="0.25"/>
    <row r="109" spans="1:8" ht="15.75" customHeight="1" x14ac:dyDescent="0.25"/>
    <row r="110" spans="1:8" ht="15.75" customHeight="1" x14ac:dyDescent="0.25"/>
    <row r="111" spans="1:8" ht="15.75" customHeight="1" x14ac:dyDescent="0.25"/>
    <row r="112" spans="1:8"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rotectedRanges>
    <protectedRange algorithmName="SHA-512" hashValue="/8dfic0Tevdd4pei5ietXIQoCknMi7AoSmew2fZ1RInHcXJsjme2+m/FTOtJFE7TnKYDYvC6wnL+pFcOh4+Qyg==" saltValue="oVArU7G3X8wroTswnuud7A==" spinCount="100000" sqref="E7:E97" name="Intervalo1"/>
  </protectedRanges>
  <mergeCells count="1">
    <mergeCell ref="D4:G4"/>
  </mergeCells>
  <dataValidations count="2">
    <dataValidation type="list" allowBlank="1" showDropDown="1" showErrorMessage="1" sqref="D8:D97" xr:uid="{00000000-0002-0000-0100-000000000000}">
      <formula1>"Direta,Invertida"</formula1>
    </dataValidation>
    <dataValidation type="custom" allowBlank="1" showDropDown="1" sqref="B8:B97" xr:uid="{00000000-0002-0000-0100-000001000000}">
      <formula1>AND(ISNUMBER(B8),(NOT(OR(NOT(ISERROR(DATEVALUE(B8))), AND(ISNUMBER(B8), LEFT(CELL("format", B8))="D")))))</formula1>
    </dataValidation>
  </dataValidations>
  <pageMargins left="0.75" right="0.75" top="1" bottom="1" header="0" footer="0"/>
  <pageSetup orientation="landscape"/>
  <ignoredErrors>
    <ignoredError sqref="E9:E97 E7" calculatedColumn="1"/>
    <ignoredError sqref="F9:H96 F7:H7 G97:H97" unlockedFormula="1" calculatedColumn="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56854"/>
  </sheetPr>
  <dimension ref="A2:J1006"/>
  <sheetViews>
    <sheetView showGridLines="0" zoomScaleNormal="100" workbookViewId="0">
      <pane ySplit="7" topLeftCell="A8" activePane="bottomLeft" state="frozen"/>
      <selection pane="bottomLeft" activeCell="A8" sqref="A8"/>
    </sheetView>
  </sheetViews>
  <sheetFormatPr defaultColWidth="14.42578125" defaultRowHeight="15" customHeight="1" x14ac:dyDescent="0.25"/>
  <cols>
    <col min="1" max="1" width="64.85546875" customWidth="1"/>
    <col min="2" max="2" width="22.140625" customWidth="1"/>
    <col min="3" max="3" width="35.140625" customWidth="1"/>
    <col min="4" max="5" width="29" customWidth="1"/>
    <col min="6" max="26" width="8.42578125" customWidth="1"/>
  </cols>
  <sheetData>
    <row r="2" spans="1:10" ht="15" customHeight="1" x14ac:dyDescent="0.25">
      <c r="D2" s="132" t="s">
        <v>125</v>
      </c>
      <c r="E2" s="156" t="s">
        <v>126</v>
      </c>
      <c r="F2" s="156"/>
      <c r="G2" s="156"/>
      <c r="H2" s="156"/>
      <c r="I2" s="156"/>
      <c r="J2" s="156"/>
    </row>
    <row r="3" spans="1:10" ht="15" customHeight="1" x14ac:dyDescent="0.25">
      <c r="D3" s="157" t="s">
        <v>129</v>
      </c>
      <c r="E3" s="157"/>
      <c r="F3" s="157"/>
      <c r="G3" s="157"/>
      <c r="H3" s="157"/>
      <c r="I3" s="157"/>
      <c r="J3" s="157"/>
    </row>
    <row r="7" spans="1:10" x14ac:dyDescent="0.25">
      <c r="A7" s="140" t="s">
        <v>3</v>
      </c>
      <c r="B7" s="141" t="s">
        <v>25</v>
      </c>
      <c r="C7" s="8" t="s">
        <v>26</v>
      </c>
      <c r="D7" s="141" t="s">
        <v>27</v>
      </c>
      <c r="E7" s="141" t="s">
        <v>28</v>
      </c>
    </row>
    <row r="8" spans="1:10" ht="17.25" x14ac:dyDescent="0.25">
      <c r="A8" s="1" t="s">
        <v>210</v>
      </c>
      <c r="B8" s="94" t="e">
        <f>AVERAGEIF(Escala!A:A, A8, Escala!H:H)</f>
        <v>#DIV/0!</v>
      </c>
      <c r="C8" s="2">
        <v>1</v>
      </c>
      <c r="D8" s="2" t="e">
        <f t="shared" ref="D8:D16" si="0">IF(B8="", "", IFERROR(IF(B8&lt;=1.66, "Baixa", IF(B8&lt;=2.32, "Média", "Alta")), ""))</f>
        <v>#DIV/0!</v>
      </c>
      <c r="E8" s="2" t="str">
        <f t="shared" ref="E8:E16" si="1">IF(C8="","",IFERROR(IF(C8&lt;=1.5,"Baixa",IF(C8&lt;=2.4,"Média","Alta")),""))</f>
        <v>Baixa</v>
      </c>
    </row>
    <row r="9" spans="1:10" ht="17.25" x14ac:dyDescent="0.25">
      <c r="A9" s="3" t="s">
        <v>211</v>
      </c>
      <c r="B9" s="94" t="e">
        <f>AVERAGEIF(Escala!A:A, A9, Escala!H:H)</f>
        <v>#DIV/0!</v>
      </c>
      <c r="C9" s="4">
        <v>2</v>
      </c>
      <c r="D9" s="4" t="e">
        <f t="shared" si="0"/>
        <v>#DIV/0!</v>
      </c>
      <c r="E9" s="2" t="str">
        <f t="shared" si="1"/>
        <v>Média</v>
      </c>
    </row>
    <row r="10" spans="1:10" ht="17.25" x14ac:dyDescent="0.25">
      <c r="A10" s="1" t="s">
        <v>212</v>
      </c>
      <c r="B10" s="94" t="e">
        <f>AVERAGEIF(Escala!A:A, A10, Escala!H:H)</f>
        <v>#DIV/0!</v>
      </c>
      <c r="C10" s="2">
        <v>3</v>
      </c>
      <c r="D10" s="2" t="e">
        <f t="shared" si="0"/>
        <v>#DIV/0!</v>
      </c>
      <c r="E10" s="2" t="str">
        <f t="shared" si="1"/>
        <v>Alta</v>
      </c>
    </row>
    <row r="11" spans="1:10" ht="17.25" x14ac:dyDescent="0.25">
      <c r="A11" s="3" t="s">
        <v>213</v>
      </c>
      <c r="B11" s="94" t="e">
        <f>AVERAGEIF(Escala!A:A, A11, Escala!H:H)</f>
        <v>#DIV/0!</v>
      </c>
      <c r="C11" s="2">
        <v>1</v>
      </c>
      <c r="D11" s="4" t="e">
        <f t="shared" si="0"/>
        <v>#DIV/0!</v>
      </c>
      <c r="E11" s="2" t="str">
        <f t="shared" si="1"/>
        <v>Baixa</v>
      </c>
      <c r="I11" s="7" t="s">
        <v>48</v>
      </c>
    </row>
    <row r="12" spans="1:10" ht="17.25" x14ac:dyDescent="0.25">
      <c r="A12" s="1" t="s">
        <v>214</v>
      </c>
      <c r="B12" s="94" t="e">
        <f>AVERAGEIF(Escala!A:A, A12, Escala!H:H)</f>
        <v>#DIV/0!</v>
      </c>
      <c r="C12" s="4">
        <v>2</v>
      </c>
      <c r="D12" s="2" t="e">
        <f t="shared" si="0"/>
        <v>#DIV/0!</v>
      </c>
      <c r="E12" s="2" t="str">
        <f t="shared" si="1"/>
        <v>Média</v>
      </c>
    </row>
    <row r="13" spans="1:10" ht="17.25" x14ac:dyDescent="0.25">
      <c r="A13" s="1" t="s">
        <v>215</v>
      </c>
      <c r="B13" s="94" t="e">
        <f>AVERAGEIF(Escala!A:A, A13, Escala!H:H)</f>
        <v>#DIV/0!</v>
      </c>
      <c r="C13" s="2">
        <v>3</v>
      </c>
      <c r="D13" s="4" t="e">
        <f t="shared" si="0"/>
        <v>#DIV/0!</v>
      </c>
      <c r="E13" s="2" t="str">
        <f t="shared" si="1"/>
        <v>Alta</v>
      </c>
    </row>
    <row r="14" spans="1:10" ht="17.25" x14ac:dyDescent="0.25">
      <c r="A14" s="1" t="s">
        <v>216</v>
      </c>
      <c r="B14" s="94" t="e">
        <f>AVERAGEIF(Escala!A:A, A14, Escala!H:H)</f>
        <v>#DIV/0!</v>
      </c>
      <c r="C14" s="2">
        <v>1</v>
      </c>
      <c r="D14" s="2" t="e">
        <f t="shared" si="0"/>
        <v>#DIV/0!</v>
      </c>
      <c r="E14" s="2" t="str">
        <f t="shared" si="1"/>
        <v>Baixa</v>
      </c>
    </row>
    <row r="15" spans="1:10" ht="17.25" x14ac:dyDescent="0.25">
      <c r="A15" s="1" t="s">
        <v>217</v>
      </c>
      <c r="B15" s="94" t="e">
        <f>AVERAGEIF(Escala!A:A, A15, Escala!H:H)</f>
        <v>#DIV/0!</v>
      </c>
      <c r="C15" s="4">
        <v>2</v>
      </c>
      <c r="D15" s="4" t="e">
        <f t="shared" si="0"/>
        <v>#DIV/0!</v>
      </c>
      <c r="E15" s="2" t="str">
        <f t="shared" si="1"/>
        <v>Média</v>
      </c>
    </row>
    <row r="16" spans="1:10" ht="17.25" x14ac:dyDescent="0.25">
      <c r="A16" s="1" t="s">
        <v>218</v>
      </c>
      <c r="B16" s="94" t="e">
        <f>AVERAGEIF(Escala!A:A, A16, Escala!H:H)</f>
        <v>#DIV/0!</v>
      </c>
      <c r="C16" s="2">
        <v>3</v>
      </c>
      <c r="D16" s="4" t="e">
        <f t="shared" si="0"/>
        <v>#DIV/0!</v>
      </c>
      <c r="E16" s="2" t="str">
        <f t="shared" si="1"/>
        <v>Alta</v>
      </c>
    </row>
    <row r="17" spans="1:5" ht="15" customHeight="1" x14ac:dyDescent="0.25">
      <c r="A17" s="1" t="s">
        <v>219</v>
      </c>
      <c r="B17" s="95" t="e">
        <f>AVERAGEIF(Escala!A:A, A17, Escala!H:H)</f>
        <v>#DIV/0!</v>
      </c>
      <c r="C17" s="2">
        <v>1</v>
      </c>
      <c r="D17" s="93" t="e">
        <f>IF(B17="", "", IFERROR(IF(B17&lt;=1.66, "Baixa", IF(B17&lt;=2.32, "Média", "Alta")), ""))</f>
        <v>#DIV/0!</v>
      </c>
      <c r="E17" s="93" t="str">
        <f>IF(C17="","",IFERROR(IF(C17&lt;=1.5,"Baixa",IF(C17&lt;=2.4,"Média","Alta")),""))</f>
        <v>Baixa</v>
      </c>
    </row>
    <row r="18" spans="1:5" ht="15" customHeight="1" x14ac:dyDescent="0.25">
      <c r="A18" s="1" t="s">
        <v>220</v>
      </c>
      <c r="B18" s="95" t="e">
        <f>AVERAGEIF(Escala!A:A, A18, Escala!H:H)</f>
        <v>#DIV/0!</v>
      </c>
      <c r="C18" s="4">
        <v>2</v>
      </c>
      <c r="D18" s="93" t="e">
        <f>IF(B18="", "", IFERROR(IF(B18&lt;=1.66, "Baixa", IF(B18&lt;=2.32, "Média", "Alta")), ""))</f>
        <v>#DIV/0!</v>
      </c>
      <c r="E18" s="93" t="str">
        <f t="shared" ref="E18:E20" si="2">IF(C18="","",IFERROR(IF(C18&lt;=1.5,"Baixa",IF(C18&lt;=2.4,"Média","Alta")),""))</f>
        <v>Média</v>
      </c>
    </row>
    <row r="19" spans="1:5" ht="17.25" x14ac:dyDescent="0.25">
      <c r="A19" s="1" t="s">
        <v>221</v>
      </c>
      <c r="B19" s="95" t="e">
        <f>AVERAGEIF(Escala!A:A, A19, Escala!H:H)</f>
        <v>#DIV/0!</v>
      </c>
      <c r="C19" s="2">
        <v>3</v>
      </c>
      <c r="D19" s="2" t="e">
        <f t="shared" ref="D19:D20" si="3">IF(B19="", "", IFERROR(IF(B19&lt;=1.66, "Baixa", IF(B19&lt;=2.32, "Média", "Alta")), ""))</f>
        <v>#DIV/0!</v>
      </c>
      <c r="E19" s="93" t="str">
        <f t="shared" si="2"/>
        <v>Alta</v>
      </c>
    </row>
    <row r="20" spans="1:5" ht="17.25" x14ac:dyDescent="0.25">
      <c r="A20" s="1" t="s">
        <v>222</v>
      </c>
      <c r="B20" s="95" t="e">
        <f>AVERAGEIF(Escala!A:A, A20, Escala!H:H)</f>
        <v>#DIV/0!</v>
      </c>
      <c r="C20" s="2">
        <v>1</v>
      </c>
      <c r="D20" s="2" t="e">
        <f t="shared" si="3"/>
        <v>#DIV/0!</v>
      </c>
      <c r="E20" s="93" t="str">
        <f t="shared" si="2"/>
        <v>Baixa</v>
      </c>
    </row>
    <row r="21" spans="1:5" x14ac:dyDescent="0.25"/>
    <row r="22" spans="1:5" x14ac:dyDescent="0.25"/>
    <row r="23" spans="1:5" x14ac:dyDescent="0.25"/>
    <row r="24" spans="1:5" x14ac:dyDescent="0.25"/>
    <row r="25" spans="1:5" x14ac:dyDescent="0.25"/>
    <row r="26" spans="1:5"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mergeCells count="2">
    <mergeCell ref="E2:J2"/>
    <mergeCell ref="D3:J3"/>
  </mergeCells>
  <pageMargins left="0.75" right="0.75" top="1" bottom="1" header="0" footer="0"/>
  <pageSetup orientation="landscape"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CD19-0425-4729-B47B-DAFD6D1B880D}">
  <sheetPr>
    <tabColor theme="1"/>
    <pageSetUpPr fitToPage="1"/>
  </sheetPr>
  <dimension ref="A1:N28"/>
  <sheetViews>
    <sheetView showGridLines="0" topLeftCell="A10" zoomScale="80" zoomScaleNormal="80" workbookViewId="0">
      <selection activeCell="F14" sqref="F14"/>
    </sheetView>
  </sheetViews>
  <sheetFormatPr defaultColWidth="12.7109375" defaultRowHeight="15.75" customHeight="1" x14ac:dyDescent="0.25"/>
  <cols>
    <col min="1" max="1" width="6.42578125" customWidth="1"/>
    <col min="2" max="2" width="4.7109375" customWidth="1"/>
    <col min="3" max="3" width="42.28515625" customWidth="1"/>
    <col min="4" max="4" width="44.42578125" customWidth="1"/>
    <col min="5" max="5" width="28.140625" customWidth="1"/>
    <col min="6" max="6" width="31.140625" bestFit="1" customWidth="1"/>
    <col min="7" max="7" width="18" customWidth="1"/>
    <col min="8" max="8" width="4.85546875" customWidth="1"/>
    <col min="9" max="9" width="6.28515625" customWidth="1"/>
    <col min="10" max="13" width="0" hidden="1" customWidth="1"/>
    <col min="14" max="14" width="5.85546875" customWidth="1"/>
  </cols>
  <sheetData>
    <row r="1" spans="1:14" ht="179.1" customHeight="1" x14ac:dyDescent="0.25">
      <c r="A1" s="110"/>
      <c r="B1" s="110"/>
      <c r="C1" s="110"/>
      <c r="D1" s="110"/>
      <c r="E1" s="110"/>
      <c r="F1" s="110"/>
      <c r="G1" s="110"/>
      <c r="H1" s="110"/>
      <c r="I1" s="110"/>
      <c r="J1" s="110"/>
      <c r="K1" s="110"/>
      <c r="L1" s="110"/>
      <c r="M1" s="110"/>
      <c r="N1" s="110"/>
    </row>
    <row r="2" spans="1:14" ht="26.1" customHeight="1" x14ac:dyDescent="0.25">
      <c r="A2" s="110"/>
      <c r="B2" s="114"/>
      <c r="C2" s="161" t="s">
        <v>106</v>
      </c>
      <c r="D2" s="161"/>
      <c r="E2" s="161"/>
      <c r="F2" s="161"/>
      <c r="G2" s="161"/>
      <c r="H2" s="114"/>
      <c r="I2" s="110"/>
      <c r="J2" s="110"/>
      <c r="K2" s="110"/>
      <c r="L2" s="110"/>
      <c r="M2" s="110"/>
      <c r="N2" s="110"/>
    </row>
    <row r="3" spans="1:14" ht="26.1" customHeight="1" x14ac:dyDescent="0.25">
      <c r="A3" s="110"/>
      <c r="B3" s="114"/>
      <c r="C3" s="44" t="s">
        <v>130</v>
      </c>
      <c r="D3" s="162"/>
      <c r="E3" s="163"/>
      <c r="F3" s="44" t="s">
        <v>107</v>
      </c>
      <c r="G3" s="109"/>
      <c r="H3" s="114"/>
      <c r="I3" s="110"/>
      <c r="J3" s="110"/>
      <c r="K3" s="110"/>
      <c r="L3" s="110"/>
      <c r="M3" s="110"/>
      <c r="N3" s="110"/>
    </row>
    <row r="4" spans="1:14" ht="26.1" customHeight="1" x14ac:dyDescent="0.25">
      <c r="A4" s="110"/>
      <c r="B4" s="114"/>
      <c r="C4" s="172" t="s">
        <v>133</v>
      </c>
      <c r="D4" s="173"/>
      <c r="E4" s="173"/>
      <c r="F4" s="173"/>
      <c r="G4" s="174"/>
      <c r="H4" s="114"/>
      <c r="I4" s="110"/>
      <c r="J4" s="110"/>
      <c r="K4" s="110"/>
      <c r="L4" s="110"/>
      <c r="M4" s="110"/>
      <c r="N4" s="110"/>
    </row>
    <row r="5" spans="1:14" ht="26.1" customHeight="1" x14ac:dyDescent="0.3">
      <c r="A5" s="110"/>
      <c r="B5" s="114"/>
      <c r="C5" s="120" t="s">
        <v>40</v>
      </c>
      <c r="D5" s="175" t="s">
        <v>41</v>
      </c>
      <c r="E5" s="166"/>
      <c r="F5" s="123" t="s">
        <v>135</v>
      </c>
      <c r="G5" s="18"/>
      <c r="H5" s="114"/>
      <c r="I5" s="110"/>
      <c r="J5" s="110"/>
      <c r="K5" s="110"/>
      <c r="L5" s="110"/>
      <c r="M5" s="110"/>
      <c r="N5" s="110"/>
    </row>
    <row r="6" spans="1:14" ht="26.1" customHeight="1" x14ac:dyDescent="0.3">
      <c r="A6" s="110"/>
      <c r="B6" s="114"/>
      <c r="C6" s="120" t="s">
        <v>42</v>
      </c>
      <c r="D6" s="176"/>
      <c r="E6" s="165"/>
      <c r="F6" s="165"/>
      <c r="G6" s="177"/>
      <c r="H6" s="114"/>
      <c r="I6" s="110"/>
      <c r="J6" s="110"/>
      <c r="K6" s="110"/>
      <c r="L6" s="110"/>
      <c r="M6" s="110"/>
      <c r="N6" s="110"/>
    </row>
    <row r="7" spans="1:14" ht="26.1" customHeight="1" x14ac:dyDescent="0.3">
      <c r="A7" s="110"/>
      <c r="B7" s="114"/>
      <c r="C7" s="120" t="s">
        <v>131</v>
      </c>
      <c r="D7" s="175"/>
      <c r="E7" s="165"/>
      <c r="F7" s="165"/>
      <c r="G7" s="166"/>
      <c r="H7" s="114"/>
      <c r="I7" s="110"/>
      <c r="J7" s="110"/>
      <c r="K7" s="110" t="s">
        <v>31</v>
      </c>
      <c r="L7" s="110" t="s">
        <v>29</v>
      </c>
      <c r="M7" s="110" t="s">
        <v>30</v>
      </c>
      <c r="N7" s="110"/>
    </row>
    <row r="8" spans="1:14" ht="26.1" customHeight="1" x14ac:dyDescent="0.3">
      <c r="A8" s="110"/>
      <c r="B8" s="114"/>
      <c r="C8" s="120" t="s">
        <v>132</v>
      </c>
      <c r="D8" s="55"/>
      <c r="E8" s="122" t="s">
        <v>136</v>
      </c>
      <c r="F8" s="122" t="s">
        <v>137</v>
      </c>
      <c r="G8" s="56"/>
      <c r="H8" s="114"/>
      <c r="I8" s="110"/>
      <c r="J8" s="110" t="s">
        <v>31</v>
      </c>
      <c r="K8" s="110" t="s">
        <v>54</v>
      </c>
      <c r="L8" s="110" t="s">
        <v>54</v>
      </c>
      <c r="M8" s="110" t="s">
        <v>55</v>
      </c>
      <c r="N8" s="110"/>
    </row>
    <row r="9" spans="1:14" ht="26.1" customHeight="1" x14ac:dyDescent="0.25">
      <c r="A9" s="110"/>
      <c r="B9" s="114"/>
      <c r="C9" s="120" t="s">
        <v>43</v>
      </c>
      <c r="D9" s="164" t="s">
        <v>138</v>
      </c>
      <c r="E9" s="165"/>
      <c r="F9" s="165"/>
      <c r="G9" s="166"/>
      <c r="H9" s="114"/>
      <c r="I9" s="110"/>
      <c r="J9" s="110" t="s">
        <v>29</v>
      </c>
      <c r="K9" s="110" t="s">
        <v>54</v>
      </c>
      <c r="L9" s="110" t="s">
        <v>55</v>
      </c>
      <c r="M9" s="110" t="s">
        <v>56</v>
      </c>
      <c r="N9" s="110"/>
    </row>
    <row r="10" spans="1:14" ht="26.1" customHeight="1" x14ac:dyDescent="0.25">
      <c r="A10" s="110"/>
      <c r="B10" s="114"/>
      <c r="C10" s="121" t="s">
        <v>44</v>
      </c>
      <c r="D10" s="167" t="s">
        <v>139</v>
      </c>
      <c r="E10" s="168"/>
      <c r="F10" s="168"/>
      <c r="G10" s="169"/>
      <c r="H10" s="114"/>
      <c r="I10" s="110"/>
      <c r="J10" s="110" t="s">
        <v>30</v>
      </c>
      <c r="K10" s="110" t="s">
        <v>55</v>
      </c>
      <c r="L10" s="110" t="s">
        <v>56</v>
      </c>
      <c r="M10" s="110" t="s">
        <v>57</v>
      </c>
      <c r="N10" s="110"/>
    </row>
    <row r="11" spans="1:14" ht="26.1" customHeight="1" x14ac:dyDescent="0.35">
      <c r="A11" s="110"/>
      <c r="B11" s="114"/>
      <c r="C11" s="170" t="s">
        <v>134</v>
      </c>
      <c r="D11" s="171"/>
      <c r="E11" s="171"/>
      <c r="F11" s="171"/>
      <c r="G11" s="171"/>
      <c r="H11" s="114"/>
      <c r="I11" s="110"/>
      <c r="J11" s="110"/>
      <c r="K11" s="110"/>
      <c r="L11" s="110"/>
      <c r="M11" s="110"/>
      <c r="N11" s="110"/>
    </row>
    <row r="12" spans="1:14" ht="20.100000000000001" customHeight="1" x14ac:dyDescent="0.3">
      <c r="A12" s="110"/>
      <c r="B12" s="114"/>
      <c r="C12" s="119" t="s">
        <v>104</v>
      </c>
      <c r="D12" s="158" t="s">
        <v>105</v>
      </c>
      <c r="E12" s="159"/>
      <c r="F12" s="159"/>
      <c r="G12" s="160"/>
      <c r="H12" s="114"/>
      <c r="I12" s="110"/>
      <c r="J12" s="110"/>
      <c r="K12" s="110"/>
      <c r="L12" s="110"/>
      <c r="M12" s="110"/>
      <c r="N12" s="110"/>
    </row>
    <row r="13" spans="1:14" ht="35.1" customHeight="1" x14ac:dyDescent="0.25">
      <c r="A13" s="110"/>
      <c r="B13" s="114"/>
      <c r="C13" s="142" t="s">
        <v>329</v>
      </c>
      <c r="D13" s="142" t="s">
        <v>330</v>
      </c>
      <c r="E13" s="115" t="s">
        <v>45</v>
      </c>
      <c r="F13" s="116" t="s">
        <v>46</v>
      </c>
      <c r="G13" s="117" t="s">
        <v>47</v>
      </c>
      <c r="H13" s="114"/>
      <c r="I13" s="110"/>
      <c r="J13" s="110"/>
      <c r="K13" s="110"/>
      <c r="L13" s="110"/>
      <c r="M13" s="110"/>
      <c r="N13" s="110"/>
    </row>
    <row r="14" spans="1:14" ht="53.1" customHeight="1" x14ac:dyDescent="0.25">
      <c r="A14" s="110"/>
      <c r="B14" s="114"/>
      <c r="C14" s="146" t="s">
        <v>223</v>
      </c>
      <c r="D14" s="145" t="s">
        <v>333</v>
      </c>
      <c r="E14" s="143" t="e">
        <f>'Resumo por Tópico'!$D$8</f>
        <v>#DIV/0!</v>
      </c>
      <c r="F14" s="42" t="str">
        <f>'Resumo por Tópico'!E8</f>
        <v>Baixa</v>
      </c>
      <c r="G14" s="43" t="str">
        <f t="shared" ref="G14:G26" si="0">IFERROR(INDEX($K$8:$M$10, MATCH(E14, $J$8:$J$10, 0), MATCH(F14, $K$7:$M$7, 0)),"")</f>
        <v/>
      </c>
      <c r="H14" s="114"/>
      <c r="I14" s="110"/>
      <c r="J14" s="110"/>
      <c r="K14" s="110"/>
      <c r="L14" s="110"/>
      <c r="M14" s="110"/>
      <c r="N14" s="110"/>
    </row>
    <row r="15" spans="1:14" ht="35.1" customHeight="1" x14ac:dyDescent="0.25">
      <c r="A15" s="110"/>
      <c r="B15" s="114"/>
      <c r="C15" s="146" t="s">
        <v>224</v>
      </c>
      <c r="D15" s="145" t="s">
        <v>334</v>
      </c>
      <c r="E15" s="143" t="e">
        <f>'Resumo por Tópico'!$D$9</f>
        <v>#DIV/0!</v>
      </c>
      <c r="F15" s="20" t="str">
        <f>'Resumo por Tópico'!E9</f>
        <v>Média</v>
      </c>
      <c r="G15" s="19" t="str">
        <f t="shared" si="0"/>
        <v/>
      </c>
      <c r="H15" s="114"/>
      <c r="I15" s="110"/>
      <c r="J15" s="110"/>
      <c r="K15" s="110"/>
      <c r="L15" s="110"/>
      <c r="M15" s="110"/>
      <c r="N15" s="110"/>
    </row>
    <row r="16" spans="1:14" ht="33.950000000000003" customHeight="1" x14ac:dyDescent="0.25">
      <c r="A16" s="110"/>
      <c r="B16" s="114"/>
      <c r="C16" s="146" t="s">
        <v>225</v>
      </c>
      <c r="D16" s="145" t="s">
        <v>335</v>
      </c>
      <c r="E16" s="143" t="e">
        <f>'Resumo por Tópico'!$D$10</f>
        <v>#DIV/0!</v>
      </c>
      <c r="F16" s="20" t="str">
        <f>'Resumo por Tópico'!E10</f>
        <v>Alta</v>
      </c>
      <c r="G16" s="19" t="str">
        <f t="shared" si="0"/>
        <v/>
      </c>
      <c r="H16" s="114"/>
      <c r="I16" s="110"/>
      <c r="J16" s="110"/>
      <c r="K16" s="110"/>
      <c r="L16" s="110"/>
      <c r="M16" s="110"/>
      <c r="N16" s="110"/>
    </row>
    <row r="17" spans="1:14" ht="45" customHeight="1" x14ac:dyDescent="0.25">
      <c r="A17" s="110"/>
      <c r="B17" s="114"/>
      <c r="C17" s="146" t="s">
        <v>226</v>
      </c>
      <c r="D17" s="145" t="s">
        <v>336</v>
      </c>
      <c r="E17" s="143" t="e">
        <f>'Resumo por Tópico'!$D$11</f>
        <v>#DIV/0!</v>
      </c>
      <c r="F17" s="20" t="str">
        <f>'Resumo por Tópico'!E11</f>
        <v>Baixa</v>
      </c>
      <c r="G17" s="19" t="str">
        <f t="shared" si="0"/>
        <v/>
      </c>
      <c r="H17" s="114"/>
      <c r="I17" s="110"/>
      <c r="J17" s="110"/>
      <c r="K17" s="110"/>
      <c r="L17" s="110"/>
      <c r="M17" s="110"/>
      <c r="N17" s="110"/>
    </row>
    <row r="18" spans="1:14" ht="24" customHeight="1" x14ac:dyDescent="0.25">
      <c r="A18" s="110"/>
      <c r="B18" s="114"/>
      <c r="C18" s="146" t="s">
        <v>227</v>
      </c>
      <c r="D18" s="144" t="s">
        <v>331</v>
      </c>
      <c r="E18" s="143" t="e">
        <f>'Resumo por Tópico'!$D$12</f>
        <v>#DIV/0!</v>
      </c>
      <c r="F18" s="20" t="str">
        <f>'Resumo por Tópico'!E12</f>
        <v>Média</v>
      </c>
      <c r="G18" s="19" t="str">
        <f t="shared" si="0"/>
        <v/>
      </c>
      <c r="H18" s="114"/>
      <c r="I18" s="110"/>
      <c r="J18" s="110"/>
      <c r="K18" s="110"/>
      <c r="L18" s="110"/>
      <c r="M18" s="110"/>
      <c r="N18" s="110"/>
    </row>
    <row r="19" spans="1:14" ht="33.950000000000003" customHeight="1" x14ac:dyDescent="0.25">
      <c r="A19" s="110"/>
      <c r="B19" s="114"/>
      <c r="C19" s="146" t="s">
        <v>228</v>
      </c>
      <c r="D19" s="145" t="s">
        <v>337</v>
      </c>
      <c r="E19" s="143" t="e">
        <f>'Resumo por Tópico'!$D$13</f>
        <v>#DIV/0!</v>
      </c>
      <c r="F19" s="20" t="str">
        <f>'Resumo por Tópico'!E13</f>
        <v>Alta</v>
      </c>
      <c r="G19" s="19" t="str">
        <f t="shared" si="0"/>
        <v/>
      </c>
      <c r="H19" s="114"/>
      <c r="I19" s="110"/>
      <c r="J19" s="110"/>
      <c r="K19" s="110"/>
      <c r="L19" s="110"/>
      <c r="M19" s="110"/>
      <c r="N19" s="110"/>
    </row>
    <row r="20" spans="1:14" ht="27.95" customHeight="1" x14ac:dyDescent="0.25">
      <c r="A20" s="110"/>
      <c r="B20" s="114"/>
      <c r="C20" s="146" t="s">
        <v>229</v>
      </c>
      <c r="D20" s="145" t="s">
        <v>338</v>
      </c>
      <c r="E20" s="143" t="e">
        <f>'Resumo por Tópico'!$D$14</f>
        <v>#DIV/0!</v>
      </c>
      <c r="F20" s="20" t="str">
        <f>'Resumo por Tópico'!E14</f>
        <v>Baixa</v>
      </c>
      <c r="G20" s="19" t="str">
        <f t="shared" si="0"/>
        <v/>
      </c>
      <c r="H20" s="114"/>
      <c r="I20" s="110"/>
      <c r="J20" s="110"/>
      <c r="K20" s="110"/>
      <c r="L20" s="110"/>
      <c r="M20" s="110"/>
      <c r="N20" s="110"/>
    </row>
    <row r="21" spans="1:14" ht="29.1" customHeight="1" x14ac:dyDescent="0.25">
      <c r="A21" s="110"/>
      <c r="B21" s="114"/>
      <c r="C21" s="146" t="s">
        <v>230</v>
      </c>
      <c r="D21" s="145" t="s">
        <v>340</v>
      </c>
      <c r="E21" s="143" t="e">
        <f>'Resumo por Tópico'!$D$15</f>
        <v>#DIV/0!</v>
      </c>
      <c r="F21" s="20" t="str">
        <f>'Resumo por Tópico'!E15</f>
        <v>Média</v>
      </c>
      <c r="G21" s="19" t="str">
        <f t="shared" si="0"/>
        <v/>
      </c>
      <c r="H21" s="114"/>
      <c r="I21" s="110"/>
      <c r="J21" s="110"/>
      <c r="K21" s="110"/>
      <c r="L21" s="110"/>
      <c r="M21" s="110"/>
      <c r="N21" s="110"/>
    </row>
    <row r="22" spans="1:14" ht="30.95" customHeight="1" x14ac:dyDescent="0.25">
      <c r="A22" s="110"/>
      <c r="B22" s="114"/>
      <c r="C22" s="146" t="s">
        <v>231</v>
      </c>
      <c r="D22" s="145" t="s">
        <v>332</v>
      </c>
      <c r="E22" s="143" t="e">
        <f>'Resumo por Tópico'!$D$16</f>
        <v>#DIV/0!</v>
      </c>
      <c r="F22" s="20" t="str">
        <f>'Resumo por Tópico'!E16</f>
        <v>Alta</v>
      </c>
      <c r="G22" s="19" t="str">
        <f t="shared" si="0"/>
        <v/>
      </c>
      <c r="H22" s="114"/>
      <c r="I22" s="110"/>
      <c r="J22" s="110"/>
      <c r="K22" s="110"/>
      <c r="L22" s="110"/>
      <c r="M22" s="110"/>
      <c r="N22" s="110"/>
    </row>
    <row r="23" spans="1:14" ht="33.950000000000003" customHeight="1" x14ac:dyDescent="0.25">
      <c r="A23" s="110"/>
      <c r="B23" s="114"/>
      <c r="C23" s="146" t="s">
        <v>232</v>
      </c>
      <c r="D23" s="145" t="s">
        <v>341</v>
      </c>
      <c r="E23" s="143" t="e">
        <f>'Resumo por Tópico'!$D$17</f>
        <v>#DIV/0!</v>
      </c>
      <c r="F23" s="20" t="str">
        <f>'Resumo por Tópico'!E17</f>
        <v>Baixa</v>
      </c>
      <c r="G23" s="19" t="str">
        <f t="shared" si="0"/>
        <v/>
      </c>
      <c r="H23" s="114"/>
      <c r="I23" s="110"/>
      <c r="J23" s="110"/>
      <c r="K23" s="110"/>
      <c r="L23" s="110"/>
      <c r="M23" s="110"/>
      <c r="N23" s="110"/>
    </row>
    <row r="24" spans="1:14" ht="36.950000000000003" customHeight="1" x14ac:dyDescent="0.25">
      <c r="A24" s="110"/>
      <c r="B24" s="114"/>
      <c r="C24" s="146" t="s">
        <v>233</v>
      </c>
      <c r="D24" s="145" t="s">
        <v>343</v>
      </c>
      <c r="E24" s="143" t="e">
        <f>'Resumo por Tópico'!$D$18</f>
        <v>#DIV/0!</v>
      </c>
      <c r="F24" s="20" t="str">
        <f>'Resumo por Tópico'!E18</f>
        <v>Média</v>
      </c>
      <c r="G24" s="19" t="str">
        <f t="shared" si="0"/>
        <v/>
      </c>
      <c r="H24" s="114"/>
      <c r="I24" s="110"/>
      <c r="J24" s="110"/>
      <c r="K24" s="110"/>
      <c r="L24" s="110"/>
      <c r="M24" s="110"/>
      <c r="N24" s="110"/>
    </row>
    <row r="25" spans="1:14" ht="36.950000000000003" customHeight="1" x14ac:dyDescent="0.25">
      <c r="A25" s="110"/>
      <c r="B25" s="114"/>
      <c r="C25" s="146" t="s">
        <v>234</v>
      </c>
      <c r="D25" s="145" t="s">
        <v>342</v>
      </c>
      <c r="E25" s="143" t="e">
        <f>'Resumo por Tópico'!$D$19</f>
        <v>#DIV/0!</v>
      </c>
      <c r="F25" s="20" t="str">
        <f>'Resumo por Tópico'!E19</f>
        <v>Alta</v>
      </c>
      <c r="G25" s="19" t="str">
        <f t="shared" si="0"/>
        <v/>
      </c>
      <c r="H25" s="114"/>
      <c r="I25" s="110"/>
      <c r="J25" s="110"/>
      <c r="K25" s="110"/>
      <c r="L25" s="110"/>
      <c r="M25" s="110"/>
      <c r="N25" s="110"/>
    </row>
    <row r="26" spans="1:14" ht="45" customHeight="1" x14ac:dyDescent="0.25">
      <c r="A26" s="110"/>
      <c r="B26" s="114"/>
      <c r="C26" s="146" t="s">
        <v>235</v>
      </c>
      <c r="D26" s="145" t="s">
        <v>339</v>
      </c>
      <c r="E26" s="143" t="e">
        <f>'Resumo por Tópico'!$D$20</f>
        <v>#DIV/0!</v>
      </c>
      <c r="F26" s="20" t="str">
        <f>'Resumo por Tópico'!E20</f>
        <v>Baixa</v>
      </c>
      <c r="G26" s="19" t="str">
        <f t="shared" si="0"/>
        <v/>
      </c>
      <c r="H26" s="114"/>
      <c r="I26" s="110"/>
      <c r="J26" s="110"/>
      <c r="K26" s="110"/>
      <c r="L26" s="110"/>
      <c r="M26" s="110"/>
      <c r="N26" s="110"/>
    </row>
    <row r="27" spans="1:14" ht="27" customHeight="1" x14ac:dyDescent="0.25">
      <c r="A27" s="110"/>
      <c r="B27" s="114"/>
      <c r="C27" s="114"/>
      <c r="D27" s="114"/>
      <c r="E27" s="114"/>
      <c r="F27" s="114"/>
      <c r="G27" s="114"/>
      <c r="H27" s="114"/>
      <c r="I27" s="110"/>
      <c r="J27" s="110"/>
      <c r="K27" s="110"/>
      <c r="L27" s="110"/>
      <c r="M27" s="110"/>
      <c r="N27" s="110"/>
    </row>
    <row r="28" spans="1:14" ht="30.95" customHeight="1" x14ac:dyDescent="0.25">
      <c r="A28" s="110"/>
      <c r="B28" s="110"/>
      <c r="C28" s="110"/>
      <c r="D28" s="110"/>
      <c r="E28" s="110"/>
      <c r="F28" s="110"/>
      <c r="G28" s="110"/>
      <c r="H28" s="110"/>
      <c r="I28" s="110"/>
      <c r="J28" s="110"/>
      <c r="K28" s="110"/>
      <c r="L28" s="110"/>
      <c r="M28" s="110"/>
      <c r="N28" s="110"/>
    </row>
  </sheetData>
  <mergeCells count="10">
    <mergeCell ref="D12:G12"/>
    <mergeCell ref="C2:G2"/>
    <mergeCell ref="D3:E3"/>
    <mergeCell ref="D9:G9"/>
    <mergeCell ref="D10:G10"/>
    <mergeCell ref="C11:G11"/>
    <mergeCell ref="C4:G4"/>
    <mergeCell ref="D5:E5"/>
    <mergeCell ref="D6:G6"/>
    <mergeCell ref="D7:G7"/>
  </mergeCells>
  <phoneticPr fontId="10" type="noConversion"/>
  <conditionalFormatting sqref="E14:E26">
    <cfRule type="containsBlanks" priority="2">
      <formula>LEN(TRIM(E14))=0</formula>
    </cfRule>
  </conditionalFormatting>
  <conditionalFormatting sqref="E14:F26">
    <cfRule type="containsText" dxfId="6" priority="3" operator="containsText" text="Baixa">
      <formula>NOT(ISERROR(SEARCH("Baixa",E14)))</formula>
    </cfRule>
    <cfRule type="containsText" dxfId="5" priority="4" operator="containsText" text="Média">
      <formula>NOT(ISERROR(SEARCH("Média",E14)))</formula>
    </cfRule>
    <cfRule type="cellIs" dxfId="4" priority="5" operator="equal">
      <formula>"Alta"</formula>
    </cfRule>
  </conditionalFormatting>
  <conditionalFormatting sqref="F14:F26">
    <cfRule type="containsBlanks" priority="1">
      <formula>LEN(TRIM(F14))=0</formula>
    </cfRule>
  </conditionalFormatting>
  <conditionalFormatting sqref="G14:G26">
    <cfRule type="containsText" dxfId="3" priority="6" operator="containsText" text="CRÍTICO">
      <formula>NOT(ISERROR(SEARCH("CRÍTICO",G14)))</formula>
    </cfRule>
    <cfRule type="containsText" dxfId="2" priority="7" operator="containsText" text="ALTO">
      <formula>NOT(ISERROR(SEARCH("ALTO",G14)))</formula>
    </cfRule>
    <cfRule type="containsText" dxfId="1" priority="8" operator="containsText" text="MÉDIO">
      <formula>NOT(ISERROR(SEARCH("MÉDIO",G14)))</formula>
    </cfRule>
    <cfRule type="containsText" dxfId="0" priority="9" operator="containsText" text="BAIXO">
      <formula>NOT(ISERROR(SEARCH("BAIXO",G14)))</formula>
    </cfRule>
  </conditionalFormatting>
  <pageMargins left="0.25" right="0.25" top="0.75" bottom="0.75" header="0.3" footer="0.3"/>
  <pageSetup paperSize="9" scale="87"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6B7B-0D89-494B-9AA6-A4A2AA9C7A9E}">
  <dimension ref="A1:K30"/>
  <sheetViews>
    <sheetView workbookViewId="0">
      <selection activeCell="E2" sqref="E2"/>
    </sheetView>
  </sheetViews>
  <sheetFormatPr defaultColWidth="8.85546875" defaultRowHeight="15" x14ac:dyDescent="0.25"/>
  <cols>
    <col min="2" max="2" width="16.140625" customWidth="1"/>
    <col min="3" max="3" width="37.7109375" customWidth="1"/>
    <col min="4" max="4" width="56.28515625" customWidth="1"/>
    <col min="5" max="5" width="20.42578125" customWidth="1"/>
    <col min="6" max="6" width="24.28515625" customWidth="1"/>
    <col min="10" max="10" width="63.28515625" customWidth="1"/>
    <col min="19" max="19" width="48.42578125" bestFit="1" customWidth="1"/>
  </cols>
  <sheetData>
    <row r="1" spans="1:11" ht="17.25" x14ac:dyDescent="0.25">
      <c r="A1" s="178" t="s">
        <v>121</v>
      </c>
      <c r="B1" s="178"/>
      <c r="D1" s="46" t="s">
        <v>3</v>
      </c>
      <c r="E1" s="47" t="s">
        <v>25</v>
      </c>
      <c r="F1" s="47" t="s">
        <v>27</v>
      </c>
      <c r="J1" s="1" t="s">
        <v>210</v>
      </c>
      <c r="K1" t="e">
        <f>F2</f>
        <v>#DIV/0!</v>
      </c>
    </row>
    <row r="2" spans="1:11" ht="17.25" x14ac:dyDescent="0.25">
      <c r="A2" t="s">
        <v>54</v>
      </c>
      <c r="B2">
        <f>COUNTIF('Análise e Avaliação'!$G$13:$G$26,'Dados Gráficos'!A2)</f>
        <v>0</v>
      </c>
      <c r="D2" t="s">
        <v>210</v>
      </c>
      <c r="E2" s="45" t="e">
        <f>'Resumo por Tópico'!B8</f>
        <v>#DIV/0!</v>
      </c>
      <c r="F2" t="e">
        <f>IF(E2="", "", IFERROR(IF(E2&lt;=1.5, "Baixa", IF(E2&lt;=2.4, "Média", "Alta")), ""))</f>
        <v>#DIV/0!</v>
      </c>
      <c r="J2" s="1" t="s">
        <v>211</v>
      </c>
      <c r="K2" t="e">
        <f t="shared" ref="K2:K13" si="0">F3</f>
        <v>#DIV/0!</v>
      </c>
    </row>
    <row r="3" spans="1:11" ht="17.25" x14ac:dyDescent="0.25">
      <c r="A3" t="s">
        <v>55</v>
      </c>
      <c r="B3">
        <f>COUNTIF('Análise e Avaliação'!$G$13:$G$26,'Dados Gráficos'!A3)</f>
        <v>0</v>
      </c>
      <c r="D3" t="s">
        <v>211</v>
      </c>
      <c r="E3" s="45" t="e">
        <f>'Resumo por Tópico'!B9</f>
        <v>#DIV/0!</v>
      </c>
      <c r="F3" t="e">
        <f t="shared" ref="F3:F10" si="1">IF(E3="", "", IFERROR(IF(E3&lt;=1.5, "Baixa", IF(E3&lt;=2.4, "Média", "Alta")), ""))</f>
        <v>#DIV/0!</v>
      </c>
      <c r="J3" s="1" t="s">
        <v>212</v>
      </c>
      <c r="K3" t="e">
        <f t="shared" si="0"/>
        <v>#DIV/0!</v>
      </c>
    </row>
    <row r="4" spans="1:11" ht="17.25" x14ac:dyDescent="0.25">
      <c r="A4" t="s">
        <v>56</v>
      </c>
      <c r="B4">
        <f>COUNTIF('Análise e Avaliação'!$G$13:$G$26,'Dados Gráficos'!A4)</f>
        <v>0</v>
      </c>
      <c r="D4" t="s">
        <v>212</v>
      </c>
      <c r="E4" s="45" t="e">
        <f>'Resumo por Tópico'!B10</f>
        <v>#DIV/0!</v>
      </c>
      <c r="F4" t="e">
        <f t="shared" si="1"/>
        <v>#DIV/0!</v>
      </c>
      <c r="J4" s="1" t="s">
        <v>213</v>
      </c>
      <c r="K4" t="e">
        <f t="shared" si="0"/>
        <v>#DIV/0!</v>
      </c>
    </row>
    <row r="5" spans="1:11" ht="17.25" x14ac:dyDescent="0.25">
      <c r="A5" t="s">
        <v>57</v>
      </c>
      <c r="B5">
        <f>COUNTIF('Análise e Avaliação'!$G$13:$G$26,'Dados Gráficos'!A5)</f>
        <v>0</v>
      </c>
      <c r="D5" t="s">
        <v>213</v>
      </c>
      <c r="E5" s="45" t="e">
        <f>'Resumo por Tópico'!B11</f>
        <v>#DIV/0!</v>
      </c>
      <c r="F5" t="e">
        <f t="shared" si="1"/>
        <v>#DIV/0!</v>
      </c>
      <c r="J5" s="1" t="s">
        <v>214</v>
      </c>
      <c r="K5" t="e">
        <f t="shared" si="0"/>
        <v>#DIV/0!</v>
      </c>
    </row>
    <row r="6" spans="1:11" ht="17.25" x14ac:dyDescent="0.25">
      <c r="D6" t="s">
        <v>214</v>
      </c>
      <c r="E6" s="45" t="e">
        <f>'Resumo por Tópico'!B12</f>
        <v>#DIV/0!</v>
      </c>
      <c r="F6" t="e">
        <f t="shared" si="1"/>
        <v>#DIV/0!</v>
      </c>
      <c r="J6" s="1" t="s">
        <v>215</v>
      </c>
      <c r="K6" t="e">
        <f t="shared" si="0"/>
        <v>#DIV/0!</v>
      </c>
    </row>
    <row r="7" spans="1:11" ht="17.25" x14ac:dyDescent="0.25">
      <c r="D7" t="s">
        <v>215</v>
      </c>
      <c r="E7" s="45" t="e">
        <f>'Resumo por Tópico'!B13</f>
        <v>#DIV/0!</v>
      </c>
      <c r="F7" t="e">
        <f t="shared" si="1"/>
        <v>#DIV/0!</v>
      </c>
      <c r="J7" s="1" t="s">
        <v>216</v>
      </c>
      <c r="K7" t="e">
        <f t="shared" si="0"/>
        <v>#DIV/0!</v>
      </c>
    </row>
    <row r="8" spans="1:11" ht="17.25" x14ac:dyDescent="0.25">
      <c r="D8" t="s">
        <v>216</v>
      </c>
      <c r="E8" s="45" t="e">
        <f>'Resumo por Tópico'!B14</f>
        <v>#DIV/0!</v>
      </c>
      <c r="F8" t="e">
        <f t="shared" si="1"/>
        <v>#DIV/0!</v>
      </c>
      <c r="J8" s="1" t="s">
        <v>217</v>
      </c>
      <c r="K8" t="e">
        <f t="shared" si="0"/>
        <v>#DIV/0!</v>
      </c>
    </row>
    <row r="9" spans="1:11" ht="17.25" x14ac:dyDescent="0.25">
      <c r="D9" t="s">
        <v>217</v>
      </c>
      <c r="E9" s="45" t="e">
        <f>'Resumo por Tópico'!B15</f>
        <v>#DIV/0!</v>
      </c>
      <c r="F9" t="e">
        <f t="shared" si="1"/>
        <v>#DIV/0!</v>
      </c>
      <c r="J9" s="1" t="s">
        <v>218</v>
      </c>
      <c r="K9" t="e">
        <f t="shared" si="0"/>
        <v>#DIV/0!</v>
      </c>
    </row>
    <row r="10" spans="1:11" ht="17.25" x14ac:dyDescent="0.25">
      <c r="D10" t="s">
        <v>218</v>
      </c>
      <c r="E10" s="45" t="e">
        <f>'Resumo por Tópico'!B16</f>
        <v>#DIV/0!</v>
      </c>
      <c r="F10" t="e">
        <f t="shared" si="1"/>
        <v>#DIV/0!</v>
      </c>
      <c r="J10" s="1" t="s">
        <v>219</v>
      </c>
      <c r="K10" t="e">
        <f t="shared" si="0"/>
        <v>#DIV/0!</v>
      </c>
    </row>
    <row r="11" spans="1:11" ht="17.25" x14ac:dyDescent="0.25">
      <c r="D11" t="s">
        <v>219</v>
      </c>
      <c r="E11" s="45" t="e">
        <f>'Resumo por Tópico'!B17</f>
        <v>#DIV/0!</v>
      </c>
      <c r="F11" t="e">
        <f t="shared" ref="F11:F14" si="2">IF(E11="", "", IFERROR(IF(E11&lt;=1.5, "Baixa", IF(E11&lt;=2.4, "Média", "Alta")), ""))</f>
        <v>#DIV/0!</v>
      </c>
      <c r="J11" s="1" t="s">
        <v>220</v>
      </c>
      <c r="K11" t="e">
        <f t="shared" si="0"/>
        <v>#DIV/0!</v>
      </c>
    </row>
    <row r="12" spans="1:11" ht="17.25" x14ac:dyDescent="0.25">
      <c r="D12" t="s">
        <v>220</v>
      </c>
      <c r="E12" s="45" t="e">
        <f>'Resumo por Tópico'!B18</f>
        <v>#DIV/0!</v>
      </c>
      <c r="F12" t="e">
        <f t="shared" si="2"/>
        <v>#DIV/0!</v>
      </c>
      <c r="J12" s="1" t="s">
        <v>221</v>
      </c>
      <c r="K12" t="e">
        <f t="shared" si="0"/>
        <v>#DIV/0!</v>
      </c>
    </row>
    <row r="13" spans="1:11" ht="17.25" x14ac:dyDescent="0.25">
      <c r="D13" t="s">
        <v>221</v>
      </c>
      <c r="E13" s="45" t="e">
        <f>'Resumo por Tópico'!B19</f>
        <v>#DIV/0!</v>
      </c>
      <c r="F13" t="e">
        <f t="shared" si="2"/>
        <v>#DIV/0!</v>
      </c>
      <c r="J13" s="1" t="s">
        <v>222</v>
      </c>
      <c r="K13" t="e">
        <f t="shared" si="0"/>
        <v>#DIV/0!</v>
      </c>
    </row>
    <row r="14" spans="1:11" x14ac:dyDescent="0.25">
      <c r="D14" t="s">
        <v>222</v>
      </c>
      <c r="E14" s="45" t="e">
        <f>'Resumo por Tópico'!B20</f>
        <v>#DIV/0!</v>
      </c>
      <c r="F14" t="e">
        <f t="shared" si="2"/>
        <v>#DIV/0!</v>
      </c>
    </row>
    <row r="16" spans="1:11" x14ac:dyDescent="0.25">
      <c r="A16" s="72" t="s">
        <v>162</v>
      </c>
    </row>
    <row r="17" spans="1:6" x14ac:dyDescent="0.25">
      <c r="A17" t="s">
        <v>31</v>
      </c>
      <c r="B17">
        <f>COUNTIF($F$18:$F$30,"Baixa")</f>
        <v>0</v>
      </c>
      <c r="D17" s="10" t="s">
        <v>3</v>
      </c>
      <c r="E17" s="11" t="s">
        <v>25</v>
      </c>
      <c r="F17" s="11" t="s">
        <v>27</v>
      </c>
    </row>
    <row r="18" spans="1:6" x14ac:dyDescent="0.25">
      <c r="A18" t="s">
        <v>29</v>
      </c>
      <c r="B18">
        <f>COUNTIF($F$18:F30,"Média")</f>
        <v>0</v>
      </c>
      <c r="D18" t="s">
        <v>210</v>
      </c>
      <c r="E18" s="45"/>
      <c r="F18" t="e">
        <f>Planilha5!D4</f>
        <v>#DIV/0!</v>
      </c>
    </row>
    <row r="19" spans="1:6" x14ac:dyDescent="0.25">
      <c r="A19" t="s">
        <v>30</v>
      </c>
      <c r="B19">
        <f>COUNTIF(F18:F30,"Alta")</f>
        <v>0</v>
      </c>
      <c r="D19" t="s">
        <v>211</v>
      </c>
      <c r="F19" t="e">
        <f>Planilha5!D5</f>
        <v>#DIV/0!</v>
      </c>
    </row>
    <row r="20" spans="1:6" x14ac:dyDescent="0.25">
      <c r="D20" t="s">
        <v>212</v>
      </c>
      <c r="F20" t="e">
        <f>Planilha5!D6</f>
        <v>#DIV/0!</v>
      </c>
    </row>
    <row r="21" spans="1:6" x14ac:dyDescent="0.25">
      <c r="D21" t="s">
        <v>213</v>
      </c>
      <c r="F21" t="e">
        <f>Planilha5!D7</f>
        <v>#DIV/0!</v>
      </c>
    </row>
    <row r="22" spans="1:6" x14ac:dyDescent="0.25">
      <c r="D22" t="s">
        <v>214</v>
      </c>
      <c r="F22" t="e">
        <f>Planilha5!D8</f>
        <v>#DIV/0!</v>
      </c>
    </row>
    <row r="23" spans="1:6" x14ac:dyDescent="0.25">
      <c r="D23" t="s">
        <v>215</v>
      </c>
      <c r="F23" t="e">
        <f>Planilha5!D9</f>
        <v>#DIV/0!</v>
      </c>
    </row>
    <row r="24" spans="1:6" x14ac:dyDescent="0.25">
      <c r="D24" t="s">
        <v>216</v>
      </c>
      <c r="F24" t="e">
        <f>Planilha5!D10</f>
        <v>#DIV/0!</v>
      </c>
    </row>
    <row r="25" spans="1:6" x14ac:dyDescent="0.25">
      <c r="D25" t="s">
        <v>217</v>
      </c>
      <c r="F25" t="e">
        <f>Planilha5!D11</f>
        <v>#DIV/0!</v>
      </c>
    </row>
    <row r="26" spans="1:6" x14ac:dyDescent="0.25">
      <c r="D26" t="s">
        <v>218</v>
      </c>
      <c r="F26" t="e">
        <f>Planilha5!D12</f>
        <v>#DIV/0!</v>
      </c>
    </row>
    <row r="27" spans="1:6" x14ac:dyDescent="0.25">
      <c r="A27" s="178" t="s">
        <v>171</v>
      </c>
      <c r="B27" s="178"/>
      <c r="D27" t="s">
        <v>219</v>
      </c>
      <c r="F27" t="e">
        <f>Planilha5!D13</f>
        <v>#DIV/0!</v>
      </c>
    </row>
    <row r="28" spans="1:6" x14ac:dyDescent="0.25">
      <c r="A28" t="s">
        <v>31</v>
      </c>
      <c r="B28">
        <f>COUNTIF(Tabela6[Gravidade  (Severidade) ],'Dados Gráficos'!A28)</f>
        <v>0</v>
      </c>
      <c r="D28" t="s">
        <v>220</v>
      </c>
      <c r="F28" t="e">
        <f>Planilha5!D14</f>
        <v>#DIV/0!</v>
      </c>
    </row>
    <row r="29" spans="1:6" x14ac:dyDescent="0.25">
      <c r="A29" t="s">
        <v>29</v>
      </c>
      <c r="B29">
        <f>COUNTIF(Tabela6[Gravidade  (Severidade) ],'Dados Gráficos'!A29)</f>
        <v>0</v>
      </c>
      <c r="D29" t="s">
        <v>221</v>
      </c>
      <c r="F29" t="e">
        <f>Planilha5!D15</f>
        <v>#DIV/0!</v>
      </c>
    </row>
    <row r="30" spans="1:6" x14ac:dyDescent="0.25">
      <c r="A30" t="s">
        <v>30</v>
      </c>
      <c r="B30">
        <f>COUNTIF(Tabela6[Gravidade  (Severidade) ],'Dados Gráficos'!A30)</f>
        <v>0</v>
      </c>
      <c r="D30" t="s">
        <v>222</v>
      </c>
      <c r="F30" t="e">
        <f>Planilha5!D16</f>
        <v>#DIV/0!</v>
      </c>
    </row>
  </sheetData>
  <mergeCells count="2">
    <mergeCell ref="A1:B1"/>
    <mergeCell ref="A27:B27"/>
  </mergeCells>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D3F3-1583-4866-BBCA-6673A0AA6EA0}">
  <dimension ref="A3:D22"/>
  <sheetViews>
    <sheetView workbookViewId="0">
      <selection activeCell="A20" sqref="A20"/>
    </sheetView>
  </sheetViews>
  <sheetFormatPr defaultColWidth="8.85546875" defaultRowHeight="15" x14ac:dyDescent="0.25"/>
  <cols>
    <col min="1" max="1" width="54.28515625" bestFit="1" customWidth="1"/>
    <col min="2" max="2" width="23.42578125" bestFit="1" customWidth="1"/>
    <col min="3" max="3" width="26.28515625" customWidth="1"/>
    <col min="4" max="4" width="16.140625" customWidth="1"/>
  </cols>
  <sheetData>
    <row r="3" spans="1:4" x14ac:dyDescent="0.25">
      <c r="A3" s="73" t="s">
        <v>163</v>
      </c>
      <c r="B3" s="74" t="s">
        <v>165</v>
      </c>
    </row>
    <row r="4" spans="1:4" x14ac:dyDescent="0.25">
      <c r="A4" s="75" t="s">
        <v>210</v>
      </c>
      <c r="B4" s="74" t="e">
        <v>#DIV/0!</v>
      </c>
      <c r="C4" t="e">
        <f>ROUNDUP(GETPIVOTDATA("GravidadeNum",$A$3,"Tópico","Tópico 01 - Assédio de qualquer natureza no trabalho"),1)</f>
        <v>#DIV/0!</v>
      </c>
      <c r="D4" t="e">
        <f>IF(C4="", "", IFERROR(IF(C4&lt;=1.66, "Baixa", IF(C4&lt;=2.32, "Média", "Alta")), ""))</f>
        <v>#DIV/0!</v>
      </c>
    </row>
    <row r="5" spans="1:4" x14ac:dyDescent="0.25">
      <c r="A5" s="76" t="s">
        <v>211</v>
      </c>
      <c r="B5" s="151" t="e">
        <v>#DIV/0!</v>
      </c>
      <c r="C5" t="e">
        <f>ROUNDUP(GETPIVOTDATA("GravidadeNum",$A$3,"Tópico","Tópico 02 - Falta de suporte/apoio no trabalho"),1)</f>
        <v>#DIV/0!</v>
      </c>
      <c r="D5" t="e">
        <f t="shared" ref="D5:D16" si="0">IF(C5="", "", IFERROR(IF(C5&lt;=1.66, "Baixa", IF(C5&lt;=2.32, "Média", "Alta")), ""))</f>
        <v>#DIV/0!</v>
      </c>
    </row>
    <row r="6" spans="1:4" x14ac:dyDescent="0.25">
      <c r="A6" s="76" t="s">
        <v>212</v>
      </c>
      <c r="B6" s="151" t="e">
        <v>#DIV/0!</v>
      </c>
      <c r="C6" t="e">
        <f>ROUNDUP(GETPIVOTDATA("GravidadeNum",$A$3,"Tópico","Tópico 03 - Má gestão de mudanças organizacionais"),1)</f>
        <v>#DIV/0!</v>
      </c>
      <c r="D6" t="e">
        <f t="shared" si="0"/>
        <v>#DIV/0!</v>
      </c>
    </row>
    <row r="7" spans="1:4" x14ac:dyDescent="0.25">
      <c r="A7" s="76" t="s">
        <v>213</v>
      </c>
      <c r="B7" s="151" t="e">
        <v>#DIV/0!</v>
      </c>
      <c r="C7" t="e">
        <f>ROUNDUP(GETPIVOTDATA("GravidadeNum",$A$3,"Tópico","Tópico 04 - Baixa clareza de papel/função"),1)</f>
        <v>#DIV/0!</v>
      </c>
      <c r="D7" t="e">
        <f t="shared" si="0"/>
        <v>#DIV/0!</v>
      </c>
    </row>
    <row r="8" spans="1:4" x14ac:dyDescent="0.25">
      <c r="A8" s="76" t="s">
        <v>214</v>
      </c>
      <c r="B8" s="151" t="e">
        <v>#DIV/0!</v>
      </c>
      <c r="C8" t="e">
        <f>ROUNDUP(GETPIVOTDATA("GravidadeNum",$A$3,"Tópico","Tópico 05 - Baixas recompensas e reconhecimento"),1)</f>
        <v>#DIV/0!</v>
      </c>
      <c r="D8" t="e">
        <f t="shared" si="0"/>
        <v>#DIV/0!</v>
      </c>
    </row>
    <row r="9" spans="1:4" x14ac:dyDescent="0.25">
      <c r="A9" s="76" t="s">
        <v>215</v>
      </c>
      <c r="B9" s="151" t="e">
        <v>#DIV/0!</v>
      </c>
      <c r="C9" t="e">
        <f>ROUNDUP(GETPIVOTDATA("GravidadeNum",$A$3,"Tópico","Tópico 06 - Baixo controle no trabalho / Falta de autonomia"),1)</f>
        <v>#DIV/0!</v>
      </c>
      <c r="D9" t="e">
        <f t="shared" si="0"/>
        <v>#DIV/0!</v>
      </c>
    </row>
    <row r="10" spans="1:4" x14ac:dyDescent="0.25">
      <c r="A10" s="76" t="s">
        <v>216</v>
      </c>
      <c r="B10" s="151" t="e">
        <v>#DIV/0!</v>
      </c>
      <c r="C10" t="e">
        <f>ROUNDUP(GETPIVOTDATA("GravidadeNum",$A$3,"Tópico","Tópico 07 - Baixa justiça organizacional"),1)</f>
        <v>#DIV/0!</v>
      </c>
      <c r="D10" t="e">
        <f t="shared" si="0"/>
        <v>#DIV/0!</v>
      </c>
    </row>
    <row r="11" spans="1:4" x14ac:dyDescent="0.25">
      <c r="A11" s="76" t="s">
        <v>217</v>
      </c>
      <c r="B11" s="151" t="e">
        <v>#DIV/0!</v>
      </c>
      <c r="C11" t="e">
        <f>ROUNDUP(GETPIVOTDATA("GravidadeNum",$A$3,"Tópico","Tópico 08 - Eventos violentos ou traumáticos"),1)</f>
        <v>#DIV/0!</v>
      </c>
      <c r="D11" t="e">
        <f t="shared" si="0"/>
        <v>#DIV/0!</v>
      </c>
    </row>
    <row r="12" spans="1:4" x14ac:dyDescent="0.25">
      <c r="A12" s="76" t="s">
        <v>218</v>
      </c>
      <c r="B12" s="151" t="e">
        <v>#DIV/0!</v>
      </c>
      <c r="C12" t="e">
        <f>ROUNDUP(GETPIVOTDATA("GravidadeNum",$A$3,"Tópico","Tópico 09 - Baixa demanda no trabalho (Subcarga)"),1)</f>
        <v>#DIV/0!</v>
      </c>
      <c r="D12" t="e">
        <f t="shared" si="0"/>
        <v>#DIV/0!</v>
      </c>
    </row>
    <row r="13" spans="1:4" x14ac:dyDescent="0.25">
      <c r="A13" s="76" t="s">
        <v>219</v>
      </c>
      <c r="B13" s="151" t="e">
        <v>#DIV/0!</v>
      </c>
      <c r="C13" t="e">
        <f>ROUNDUP(GETPIVOTDATA("GravidadeNum",$A$3,"Tópico","Tópico 10 - Excesso de demandas no trabalho (Sobrecarga)"),1)</f>
        <v>#DIV/0!</v>
      </c>
      <c r="D13" t="e">
        <f t="shared" si="0"/>
        <v>#DIV/0!</v>
      </c>
    </row>
    <row r="14" spans="1:4" x14ac:dyDescent="0.25">
      <c r="A14" s="76" t="s">
        <v>220</v>
      </c>
      <c r="B14" s="151" t="e">
        <v>#DIV/0!</v>
      </c>
      <c r="C14" t="e">
        <f>ROUNDUP(GETPIVOTDATA("GravidadeNum",$A$3,"Tópico","Tópico 11 - Maus relacionamentos no local de trabalho"),1)</f>
        <v>#DIV/0!</v>
      </c>
      <c r="D14" t="e">
        <f t="shared" si="0"/>
        <v>#DIV/0!</v>
      </c>
    </row>
    <row r="15" spans="1:4" x14ac:dyDescent="0.25">
      <c r="A15" s="76" t="s">
        <v>221</v>
      </c>
      <c r="B15" s="151" t="e">
        <v>#DIV/0!</v>
      </c>
      <c r="C15" t="e">
        <f>ROUNDUP(GETPIVOTDATA("GravidadeNum",$A$3,"Tópico","Tópico 12 - Trabalho em condições de difícil comunicação"),1)</f>
        <v>#DIV/0!</v>
      </c>
      <c r="D15" t="e">
        <f t="shared" si="0"/>
        <v>#DIV/0!</v>
      </c>
    </row>
    <row r="16" spans="1:4" x14ac:dyDescent="0.25">
      <c r="A16" s="76" t="s">
        <v>222</v>
      </c>
      <c r="B16" s="151" t="e">
        <v>#DIV/0!</v>
      </c>
      <c r="C16" t="e">
        <f>ROUNDUP(GETPIVOTDATA("GravidadeNum",$A$3,"Tópico","Tópico 13 - Trabalho remoto e isolado"),1)</f>
        <v>#DIV/0!</v>
      </c>
      <c r="D16" t="e">
        <f t="shared" si="0"/>
        <v>#DIV/0!</v>
      </c>
    </row>
    <row r="17" spans="1:2" x14ac:dyDescent="0.25">
      <c r="A17" s="76" t="s">
        <v>236</v>
      </c>
      <c r="B17" s="151" t="e">
        <v>#DIV/0!</v>
      </c>
    </row>
    <row r="18" spans="1:2" x14ac:dyDescent="0.25">
      <c r="A18" s="77" t="s">
        <v>164</v>
      </c>
      <c r="B18" s="152" t="e">
        <v>#DIV/0!</v>
      </c>
    </row>
    <row r="20" spans="1:2" x14ac:dyDescent="0.25">
      <c r="A20" t="e">
        <f>IF(AVERAGEIF(Escala!A:A,"Tópico 01 - Assédio de qualquer natureza no trabalho",Escala!F:F)&gt;=3,"Alta",IF(AVERAGEIF(Escala!A:A,"Tópico 01 - Assédio de qualquer natureza no trabalho",Escala!F:F)=2,"Média","Baixa"))</f>
        <v>#DIV/0!</v>
      </c>
    </row>
    <row r="21" spans="1:2" x14ac:dyDescent="0.25">
      <c r="A21">
        <f>COUNTIF(Escala!G:G,"Média")</f>
        <v>0</v>
      </c>
    </row>
    <row r="22" spans="1:2" x14ac:dyDescent="0.25">
      <c r="A22">
        <f>COUNTIF(Escala!G:G,"Alta")</f>
        <v>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A437-67E9-4717-98E2-947A9A2383EA}">
  <dimension ref="A1:A4"/>
  <sheetViews>
    <sheetView workbookViewId="0">
      <selection activeCell="A4" sqref="A4"/>
    </sheetView>
  </sheetViews>
  <sheetFormatPr defaultColWidth="8.85546875" defaultRowHeight="15" x14ac:dyDescent="0.25"/>
  <sheetData>
    <row r="1" spans="1:1" x14ac:dyDescent="0.25">
      <c r="A1" s="6" t="s">
        <v>49</v>
      </c>
    </row>
    <row r="2" spans="1:1" x14ac:dyDescent="0.25">
      <c r="A2" s="6" t="s">
        <v>50</v>
      </c>
    </row>
    <row r="3" spans="1:1" x14ac:dyDescent="0.25">
      <c r="A3" s="6" t="s">
        <v>51</v>
      </c>
    </row>
    <row r="4" spans="1:1" x14ac:dyDescent="0.25">
      <c r="A4" s="6" t="s">
        <v>52</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9147-FFA1-4023-8830-82FE56C7C1EC}">
  <sheetPr>
    <tabColor rgb="FF356854"/>
  </sheetPr>
  <dimension ref="A1:M16"/>
  <sheetViews>
    <sheetView showGridLines="0" zoomScale="172" zoomScaleNormal="172" workbookViewId="0">
      <selection activeCell="A10" sqref="A10"/>
    </sheetView>
  </sheetViews>
  <sheetFormatPr defaultColWidth="12.7109375" defaultRowHeight="15.75" customHeight="1" x14ac:dyDescent="0.25"/>
  <cols>
    <col min="1" max="1" width="55.140625" customWidth="1"/>
    <col min="2" max="2" width="12.28515625" customWidth="1"/>
    <col min="3" max="3" width="9.7109375" customWidth="1"/>
    <col min="4" max="4" width="10" customWidth="1"/>
    <col min="5" max="5" width="11.140625" customWidth="1"/>
    <col min="6" max="6" width="10.7109375" customWidth="1"/>
    <col min="7" max="7" width="11.42578125" customWidth="1"/>
    <col min="8" max="8" width="14.42578125" customWidth="1"/>
    <col min="9" max="9" width="12.7109375" customWidth="1"/>
    <col min="10" max="10" width="15.85546875" customWidth="1"/>
    <col min="11" max="11" width="9.85546875" customWidth="1"/>
    <col min="12" max="12" width="13.42578125" bestFit="1" customWidth="1"/>
    <col min="13" max="13" width="13.85546875" bestFit="1" customWidth="1"/>
  </cols>
  <sheetData>
    <row r="1" spans="1:13" ht="26.25" x14ac:dyDescent="0.25">
      <c r="A1" s="179" t="s">
        <v>160</v>
      </c>
      <c r="B1" s="180"/>
      <c r="C1" s="180"/>
      <c r="D1" s="180"/>
      <c r="E1" s="180"/>
      <c r="F1" s="180"/>
      <c r="G1" s="180"/>
      <c r="H1" s="180"/>
      <c r="I1" s="180"/>
      <c r="J1" s="180"/>
      <c r="K1" s="180"/>
      <c r="L1" s="180"/>
      <c r="M1" s="180"/>
    </row>
    <row r="2" spans="1:13" ht="17.25" x14ac:dyDescent="0.25">
      <c r="A2" s="181" t="s">
        <v>58</v>
      </c>
      <c r="B2" s="183" t="s">
        <v>161</v>
      </c>
      <c r="C2" s="184"/>
      <c r="D2" s="184"/>
      <c r="E2" s="184"/>
      <c r="F2" s="184"/>
      <c r="G2" s="184"/>
      <c r="H2" s="184"/>
      <c r="I2" s="184"/>
      <c r="J2" s="184"/>
      <c r="K2" s="184"/>
      <c r="L2" s="184"/>
      <c r="M2" s="185"/>
    </row>
    <row r="3" spans="1:13" x14ac:dyDescent="0.25">
      <c r="A3" s="182"/>
      <c r="B3" s="128">
        <v>46082</v>
      </c>
      <c r="C3" s="128">
        <v>46113</v>
      </c>
      <c r="D3" s="128">
        <v>46143</v>
      </c>
      <c r="E3" s="128">
        <v>46174</v>
      </c>
      <c r="F3" s="129">
        <v>46204</v>
      </c>
      <c r="G3" s="128">
        <v>46235</v>
      </c>
      <c r="H3" s="128">
        <v>46266</v>
      </c>
      <c r="I3" s="128">
        <v>46296</v>
      </c>
      <c r="J3" s="128">
        <v>46327</v>
      </c>
      <c r="K3" s="130">
        <v>46357</v>
      </c>
      <c r="L3" s="128">
        <v>46388</v>
      </c>
      <c r="M3" s="128">
        <v>46419</v>
      </c>
    </row>
    <row r="4" spans="1:13" x14ac:dyDescent="0.25">
      <c r="A4" s="124" t="s">
        <v>59</v>
      </c>
      <c r="B4" s="126"/>
      <c r="C4" s="12"/>
      <c r="D4" s="12"/>
      <c r="E4" s="13"/>
      <c r="F4" s="13"/>
      <c r="G4" s="12"/>
      <c r="H4" s="12"/>
      <c r="I4" s="12"/>
      <c r="J4" s="12"/>
      <c r="K4" s="12"/>
      <c r="L4" s="12"/>
      <c r="M4" s="12"/>
    </row>
    <row r="5" spans="1:13" ht="15" x14ac:dyDescent="0.25">
      <c r="A5" s="125" t="s">
        <v>148</v>
      </c>
      <c r="B5" s="60"/>
      <c r="C5" s="14"/>
      <c r="D5" s="126"/>
      <c r="E5" s="12"/>
      <c r="F5" s="12"/>
      <c r="G5" s="12"/>
      <c r="H5" s="12"/>
      <c r="I5" s="12"/>
      <c r="J5" s="12"/>
      <c r="K5" s="12"/>
      <c r="L5" s="12"/>
      <c r="M5" s="12"/>
    </row>
    <row r="6" spans="1:13" ht="15" x14ac:dyDescent="0.25">
      <c r="A6" s="125" t="s">
        <v>149</v>
      </c>
      <c r="B6" s="60"/>
      <c r="C6" s="12"/>
      <c r="D6" s="14"/>
      <c r="E6" s="12"/>
      <c r="F6" s="126"/>
      <c r="G6" s="12"/>
      <c r="H6" s="12"/>
      <c r="I6" s="12"/>
      <c r="J6" s="12"/>
      <c r="K6" s="12"/>
      <c r="L6" s="12"/>
      <c r="M6" s="12"/>
    </row>
    <row r="7" spans="1:13" ht="15" x14ac:dyDescent="0.25">
      <c r="A7" s="125" t="s">
        <v>150</v>
      </c>
      <c r="B7" s="60"/>
      <c r="C7" s="12"/>
      <c r="D7" s="12"/>
      <c r="E7" s="14"/>
      <c r="F7" s="12"/>
      <c r="G7" s="131"/>
      <c r="H7" s="12"/>
      <c r="I7" s="12"/>
      <c r="J7" s="12"/>
      <c r="K7" s="12"/>
      <c r="L7" s="12"/>
      <c r="M7" s="12"/>
    </row>
    <row r="8" spans="1:13" ht="15" x14ac:dyDescent="0.25">
      <c r="A8" s="125" t="s">
        <v>151</v>
      </c>
      <c r="B8" s="60"/>
      <c r="C8" s="12"/>
      <c r="D8" s="12"/>
      <c r="E8" s="12"/>
      <c r="F8" s="12"/>
      <c r="G8" s="15"/>
      <c r="H8" s="12"/>
      <c r="I8" s="12"/>
      <c r="J8" s="12"/>
      <c r="K8" s="12"/>
      <c r="L8" s="12"/>
      <c r="M8" s="12"/>
    </row>
    <row r="9" spans="1:13" ht="15" x14ac:dyDescent="0.25">
      <c r="A9" s="125" t="s">
        <v>152</v>
      </c>
      <c r="B9" s="60"/>
      <c r="C9" s="126"/>
      <c r="D9" s="12"/>
      <c r="E9" s="12"/>
      <c r="F9" s="12"/>
      <c r="G9" s="12"/>
      <c r="H9" s="12"/>
      <c r="I9" s="12"/>
      <c r="J9" s="12"/>
      <c r="K9" s="12"/>
      <c r="L9" s="12"/>
      <c r="M9" s="12"/>
    </row>
    <row r="10" spans="1:13" ht="15" x14ac:dyDescent="0.25">
      <c r="A10" s="125" t="s">
        <v>153</v>
      </c>
      <c r="B10" s="60"/>
      <c r="C10" s="12"/>
      <c r="D10" s="12"/>
      <c r="E10" s="12"/>
      <c r="F10" s="12"/>
      <c r="G10" s="12"/>
      <c r="H10" s="126"/>
      <c r="I10" s="12"/>
      <c r="J10" s="12"/>
      <c r="K10" s="12"/>
      <c r="L10" s="12"/>
      <c r="M10" s="12"/>
    </row>
    <row r="11" spans="1:13" ht="15" x14ac:dyDescent="0.25">
      <c r="A11" s="125" t="s">
        <v>154</v>
      </c>
      <c r="B11" s="60"/>
      <c r="C11" s="127"/>
      <c r="D11" s="12"/>
      <c r="E11" s="126"/>
      <c r="F11" s="12"/>
      <c r="G11" s="12"/>
      <c r="H11" s="12"/>
      <c r="I11" s="12"/>
      <c r="J11" s="12"/>
      <c r="K11" s="12"/>
      <c r="L11" s="12"/>
      <c r="M11" s="12"/>
    </row>
    <row r="12" spans="1:13" ht="15" x14ac:dyDescent="0.25">
      <c r="A12" s="125" t="s">
        <v>155</v>
      </c>
      <c r="B12" s="60"/>
      <c r="C12" s="12"/>
      <c r="D12" s="12"/>
      <c r="E12" s="12"/>
      <c r="F12" s="12"/>
      <c r="G12" s="12"/>
      <c r="H12" s="12"/>
      <c r="I12" s="126"/>
      <c r="J12" s="12"/>
      <c r="K12" s="12"/>
      <c r="L12" s="12"/>
      <c r="M12" s="12"/>
    </row>
    <row r="13" spans="1:13" ht="15" x14ac:dyDescent="0.25">
      <c r="A13" s="125" t="s">
        <v>156</v>
      </c>
      <c r="B13" s="60"/>
      <c r="C13" s="12"/>
      <c r="D13" s="12"/>
      <c r="E13" s="12"/>
      <c r="F13" s="12"/>
      <c r="G13" s="12"/>
      <c r="H13" s="12"/>
      <c r="I13" s="12"/>
      <c r="J13" s="126"/>
      <c r="K13" s="12"/>
      <c r="L13" s="12"/>
      <c r="M13" s="12"/>
    </row>
    <row r="14" spans="1:13" ht="15" x14ac:dyDescent="0.25">
      <c r="A14" s="125" t="s">
        <v>157</v>
      </c>
      <c r="B14" s="60"/>
      <c r="C14" s="12"/>
      <c r="D14" s="12"/>
      <c r="E14" s="12"/>
      <c r="F14" s="12"/>
      <c r="G14" s="12"/>
      <c r="H14" s="12"/>
      <c r="I14" s="12"/>
      <c r="J14" s="12"/>
      <c r="K14" s="126"/>
      <c r="L14" s="12"/>
      <c r="M14" s="12"/>
    </row>
    <row r="15" spans="1:13" ht="15" x14ac:dyDescent="0.25">
      <c r="A15" s="125" t="s">
        <v>158</v>
      </c>
      <c r="B15" s="60"/>
      <c r="C15" s="12"/>
      <c r="D15" s="12"/>
      <c r="E15" s="12"/>
      <c r="F15" s="12"/>
      <c r="G15" s="12"/>
      <c r="H15" s="12"/>
      <c r="I15" s="12"/>
      <c r="J15" s="12"/>
      <c r="K15" s="12"/>
      <c r="L15" s="126"/>
      <c r="M15" s="14"/>
    </row>
    <row r="16" spans="1:13" ht="15" x14ac:dyDescent="0.25">
      <c r="A16" s="125" t="s">
        <v>159</v>
      </c>
      <c r="B16" s="60"/>
      <c r="C16" s="12"/>
      <c r="D16" s="12"/>
      <c r="E16" s="12"/>
      <c r="F16" s="12"/>
      <c r="G16" s="12"/>
      <c r="H16" s="12"/>
      <c r="I16" s="12"/>
      <c r="J16" s="12"/>
      <c r="K16" s="12"/>
      <c r="L16" s="14"/>
      <c r="M16" s="126"/>
    </row>
  </sheetData>
  <mergeCells count="3">
    <mergeCell ref="A1:M1"/>
    <mergeCell ref="A2:A3"/>
    <mergeCell ref="B2:M2"/>
  </mergeCells>
  <pageMargins left="0.511811024" right="0.511811024" top="0.78740157499999996" bottom="0.78740157499999996" header="0.31496062000000002" footer="0.31496062000000002"/>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22DB-038F-44CC-A011-0D24587E58C4}">
  <sheetPr>
    <tabColor theme="1"/>
  </sheetPr>
  <dimension ref="A1:I6"/>
  <sheetViews>
    <sheetView showGridLines="0" workbookViewId="0">
      <selection activeCell="H23" sqref="H23"/>
    </sheetView>
  </sheetViews>
  <sheetFormatPr defaultColWidth="12.7109375" defaultRowHeight="15.75" customHeight="1" x14ac:dyDescent="0.25"/>
  <cols>
    <col min="4" max="4" width="55.85546875" customWidth="1"/>
    <col min="5" max="5" width="7.7109375" customWidth="1"/>
    <col min="9" max="9" width="39.85546875" customWidth="1"/>
  </cols>
  <sheetData>
    <row r="1" spans="1:9" ht="23.25" x14ac:dyDescent="0.35">
      <c r="A1" s="205" t="s">
        <v>60</v>
      </c>
      <c r="B1" s="206"/>
      <c r="C1" s="206"/>
      <c r="D1" s="207"/>
    </row>
    <row r="2" spans="1:9" x14ac:dyDescent="0.25">
      <c r="A2" s="208" t="s">
        <v>61</v>
      </c>
      <c r="B2" s="209"/>
      <c r="C2" s="209"/>
      <c r="D2" s="210"/>
    </row>
    <row r="3" spans="1:9" ht="22.5" x14ac:dyDescent="0.25">
      <c r="A3" s="211" t="s">
        <v>62</v>
      </c>
      <c r="B3" s="212"/>
      <c r="C3" s="213"/>
      <c r="D3" s="189" t="s">
        <v>63</v>
      </c>
    </row>
    <row r="4" spans="1:9" ht="36" x14ac:dyDescent="0.55000000000000004">
      <c r="A4" s="214" t="s">
        <v>64</v>
      </c>
      <c r="B4" s="203"/>
      <c r="C4" s="204"/>
      <c r="D4" s="190"/>
      <c r="G4" s="202" t="s">
        <v>65</v>
      </c>
      <c r="H4" s="203"/>
      <c r="I4" s="204"/>
    </row>
    <row r="5" spans="1:9" ht="22.5" x14ac:dyDescent="0.25">
      <c r="A5" s="186" t="s">
        <v>66</v>
      </c>
      <c r="B5" s="187"/>
      <c r="C5" s="188"/>
      <c r="D5" s="189" t="s">
        <v>123</v>
      </c>
      <c r="E5" s="191" t="s">
        <v>67</v>
      </c>
      <c r="F5" s="192"/>
      <c r="G5" s="193" t="s">
        <v>124</v>
      </c>
      <c r="H5" s="194"/>
      <c r="I5" s="195"/>
    </row>
    <row r="6" spans="1:9" ht="22.5" x14ac:dyDescent="0.25">
      <c r="A6" s="199" t="s">
        <v>122</v>
      </c>
      <c r="B6" s="200"/>
      <c r="C6" s="201"/>
      <c r="D6" s="190"/>
      <c r="E6" s="192"/>
      <c r="F6" s="192"/>
      <c r="G6" s="196"/>
      <c r="H6" s="197"/>
      <c r="I6" s="198"/>
    </row>
  </sheetData>
  <mergeCells count="11">
    <mergeCell ref="G4:I4"/>
    <mergeCell ref="A1:D1"/>
    <mergeCell ref="A2:D2"/>
    <mergeCell ref="A3:C3"/>
    <mergeCell ref="D3:D4"/>
    <mergeCell ref="A4:C4"/>
    <mergeCell ref="A5:C5"/>
    <mergeCell ref="D5:D6"/>
    <mergeCell ref="E5:F6"/>
    <mergeCell ref="G5:I6"/>
    <mergeCell ref="A6:C6"/>
  </mergeCells>
  <pageMargins left="0.511811024" right="0.511811024" top="0.78740157499999996" bottom="0.78740157499999996" header="0.31496062000000002" footer="0.31496062000000002"/>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B67C-775B-CC48-96EA-5CE45158DF4B}">
  <sheetPr>
    <tabColor rgb="FF356854"/>
  </sheetPr>
  <dimension ref="A1:D196"/>
  <sheetViews>
    <sheetView showGridLines="0" zoomScale="80" zoomScaleNormal="80" zoomScaleSheetLayoutView="100" workbookViewId="0">
      <selection activeCell="B185" sqref="B185"/>
    </sheetView>
  </sheetViews>
  <sheetFormatPr defaultColWidth="8.85546875" defaultRowHeight="21" x14ac:dyDescent="0.35"/>
  <cols>
    <col min="1" max="1" width="35.28515625" style="27" bestFit="1" customWidth="1"/>
    <col min="2" max="2" width="130" style="21" customWidth="1"/>
    <col min="3" max="3" width="181.140625" style="21" bestFit="1" customWidth="1"/>
    <col min="4" max="4" width="47.140625" style="25" bestFit="1" customWidth="1"/>
    <col min="5" max="16384" width="8.85546875" style="21"/>
  </cols>
  <sheetData>
    <row r="1" spans="1:4" ht="42" customHeight="1" x14ac:dyDescent="0.35">
      <c r="A1" s="227" t="s">
        <v>75</v>
      </c>
      <c r="B1" s="228"/>
      <c r="C1" s="228"/>
      <c r="D1" s="229"/>
    </row>
    <row r="2" spans="1:4" x14ac:dyDescent="0.35">
      <c r="A2" s="51" t="s">
        <v>76</v>
      </c>
      <c r="B2" s="230"/>
      <c r="C2" s="231"/>
      <c r="D2" s="232"/>
    </row>
    <row r="3" spans="1:4" x14ac:dyDescent="0.35">
      <c r="A3" s="51" t="s">
        <v>128</v>
      </c>
      <c r="B3" s="57" t="s">
        <v>344</v>
      </c>
      <c r="C3" s="53"/>
      <c r="D3" s="54"/>
    </row>
    <row r="4" spans="1:4" x14ac:dyDescent="0.35">
      <c r="A4" s="26" t="s">
        <v>77</v>
      </c>
      <c r="B4" s="22" t="s">
        <v>5</v>
      </c>
      <c r="C4" s="22" t="s">
        <v>78</v>
      </c>
      <c r="D4" s="24" t="s">
        <v>79</v>
      </c>
    </row>
    <row r="5" spans="1:4" x14ac:dyDescent="0.35">
      <c r="A5" s="221" t="s">
        <v>80</v>
      </c>
      <c r="B5" s="23" t="s">
        <v>81</v>
      </c>
      <c r="C5" s="23" t="s">
        <v>82</v>
      </c>
      <c r="D5" s="224" t="s">
        <v>83</v>
      </c>
    </row>
    <row r="6" spans="1:4" x14ac:dyDescent="0.35">
      <c r="A6" s="222"/>
      <c r="B6" s="23" t="s">
        <v>84</v>
      </c>
      <c r="C6" s="23" t="s">
        <v>85</v>
      </c>
      <c r="D6" s="225"/>
    </row>
    <row r="7" spans="1:4" x14ac:dyDescent="0.35">
      <c r="A7" s="223"/>
      <c r="B7" s="23" t="s">
        <v>86</v>
      </c>
      <c r="C7" s="23" t="s">
        <v>87</v>
      </c>
      <c r="D7" s="225"/>
    </row>
    <row r="8" spans="1:4" x14ac:dyDescent="0.35">
      <c r="A8" s="221" t="s">
        <v>88</v>
      </c>
      <c r="B8" s="23" t="s">
        <v>89</v>
      </c>
      <c r="C8" s="23" t="s">
        <v>90</v>
      </c>
      <c r="D8" s="225"/>
    </row>
    <row r="9" spans="1:4" x14ac:dyDescent="0.35">
      <c r="A9" s="222"/>
      <c r="B9" s="23" t="s">
        <v>91</v>
      </c>
      <c r="C9" s="23" t="s">
        <v>92</v>
      </c>
      <c r="D9" s="225"/>
    </row>
    <row r="10" spans="1:4" x14ac:dyDescent="0.35">
      <c r="A10" s="223"/>
      <c r="B10" s="23" t="s">
        <v>93</v>
      </c>
      <c r="C10" s="23" t="s">
        <v>94</v>
      </c>
      <c r="D10" s="225"/>
    </row>
    <row r="11" spans="1:4" x14ac:dyDescent="0.35">
      <c r="A11" s="221" t="s">
        <v>95</v>
      </c>
      <c r="B11" s="23" t="s">
        <v>96</v>
      </c>
      <c r="C11" s="23" t="s">
        <v>97</v>
      </c>
      <c r="D11" s="225"/>
    </row>
    <row r="12" spans="1:4" x14ac:dyDescent="0.35">
      <c r="A12" s="222"/>
      <c r="B12" s="23" t="s">
        <v>98</v>
      </c>
      <c r="C12" s="23" t="s">
        <v>99</v>
      </c>
      <c r="D12" s="225"/>
    </row>
    <row r="13" spans="1:4" x14ac:dyDescent="0.35">
      <c r="A13" s="222"/>
      <c r="B13" s="23" t="s">
        <v>100</v>
      </c>
      <c r="C13" s="23" t="s">
        <v>101</v>
      </c>
      <c r="D13" s="225"/>
    </row>
    <row r="14" spans="1:4" x14ac:dyDescent="0.35">
      <c r="A14" s="223"/>
      <c r="B14" s="23" t="s">
        <v>102</v>
      </c>
      <c r="C14" s="23" t="s">
        <v>103</v>
      </c>
      <c r="D14" s="226"/>
    </row>
    <row r="15" spans="1:4" x14ac:dyDescent="0.35">
      <c r="A15" s="49"/>
      <c r="B15" s="50"/>
      <c r="C15" s="50"/>
      <c r="D15" s="48"/>
    </row>
    <row r="16" spans="1:4" x14ac:dyDescent="0.35">
      <c r="A16" s="215" t="s">
        <v>75</v>
      </c>
      <c r="B16" s="216"/>
      <c r="C16" s="216"/>
      <c r="D16" s="217"/>
    </row>
    <row r="17" spans="1:4" x14ac:dyDescent="0.35">
      <c r="A17" s="51" t="s">
        <v>76</v>
      </c>
      <c r="B17" s="218"/>
      <c r="C17" s="219"/>
      <c r="D17" s="220"/>
    </row>
    <row r="18" spans="1:4" x14ac:dyDescent="0.35">
      <c r="A18" s="51" t="s">
        <v>128</v>
      </c>
      <c r="B18" s="57" t="s">
        <v>345</v>
      </c>
      <c r="C18" s="53"/>
      <c r="D18" s="54"/>
    </row>
    <row r="19" spans="1:4" x14ac:dyDescent="0.35">
      <c r="A19" s="26" t="s">
        <v>77</v>
      </c>
      <c r="B19" s="22" t="s">
        <v>5</v>
      </c>
      <c r="C19" s="22" t="s">
        <v>78</v>
      </c>
      <c r="D19" s="24" t="s">
        <v>79</v>
      </c>
    </row>
    <row r="20" spans="1:4" x14ac:dyDescent="0.35">
      <c r="A20" s="221" t="s">
        <v>80</v>
      </c>
      <c r="B20" s="23" t="s">
        <v>81</v>
      </c>
      <c r="C20" s="23" t="s">
        <v>82</v>
      </c>
      <c r="D20" s="224" t="s">
        <v>83</v>
      </c>
    </row>
    <row r="21" spans="1:4" x14ac:dyDescent="0.35">
      <c r="A21" s="222"/>
      <c r="B21" s="23" t="s">
        <v>84</v>
      </c>
      <c r="C21" s="23" t="s">
        <v>85</v>
      </c>
      <c r="D21" s="225"/>
    </row>
    <row r="22" spans="1:4" x14ac:dyDescent="0.35">
      <c r="A22" s="223"/>
      <c r="B22" s="23" t="s">
        <v>86</v>
      </c>
      <c r="C22" s="23" t="s">
        <v>87</v>
      </c>
      <c r="D22" s="225"/>
    </row>
    <row r="23" spans="1:4" x14ac:dyDescent="0.35">
      <c r="A23" s="221" t="s">
        <v>88</v>
      </c>
      <c r="B23" s="23" t="s">
        <v>89</v>
      </c>
      <c r="C23" s="23" t="s">
        <v>90</v>
      </c>
      <c r="D23" s="225"/>
    </row>
    <row r="24" spans="1:4" x14ac:dyDescent="0.35">
      <c r="A24" s="222"/>
      <c r="B24" s="23" t="s">
        <v>91</v>
      </c>
      <c r="C24" s="23" t="s">
        <v>92</v>
      </c>
      <c r="D24" s="225"/>
    </row>
    <row r="25" spans="1:4" x14ac:dyDescent="0.35">
      <c r="A25" s="223"/>
      <c r="B25" s="23" t="s">
        <v>93</v>
      </c>
      <c r="C25" s="23" t="s">
        <v>94</v>
      </c>
      <c r="D25" s="225"/>
    </row>
    <row r="26" spans="1:4" x14ac:dyDescent="0.35">
      <c r="A26" s="221" t="s">
        <v>95</v>
      </c>
      <c r="B26" s="23" t="s">
        <v>96</v>
      </c>
      <c r="C26" s="23" t="s">
        <v>97</v>
      </c>
      <c r="D26" s="225"/>
    </row>
    <row r="27" spans="1:4" x14ac:dyDescent="0.35">
      <c r="A27" s="222"/>
      <c r="B27" s="23" t="s">
        <v>98</v>
      </c>
      <c r="C27" s="23" t="s">
        <v>99</v>
      </c>
      <c r="D27" s="225"/>
    </row>
    <row r="28" spans="1:4" x14ac:dyDescent="0.35">
      <c r="A28" s="222"/>
      <c r="B28" s="23" t="s">
        <v>100</v>
      </c>
      <c r="C28" s="23" t="s">
        <v>101</v>
      </c>
      <c r="D28" s="225"/>
    </row>
    <row r="29" spans="1:4" x14ac:dyDescent="0.35">
      <c r="A29" s="223"/>
      <c r="B29" s="23" t="s">
        <v>102</v>
      </c>
      <c r="C29" s="23" t="s">
        <v>103</v>
      </c>
      <c r="D29" s="226"/>
    </row>
    <row r="30" spans="1:4" x14ac:dyDescent="0.35">
      <c r="A30" s="49"/>
      <c r="B30" s="50"/>
      <c r="C30" s="50"/>
      <c r="D30" s="48"/>
    </row>
    <row r="31" spans="1:4" x14ac:dyDescent="0.35">
      <c r="A31" s="215" t="s">
        <v>75</v>
      </c>
      <c r="B31" s="216"/>
      <c r="C31" s="216"/>
      <c r="D31" s="217"/>
    </row>
    <row r="32" spans="1:4" x14ac:dyDescent="0.35">
      <c r="A32" s="51" t="s">
        <v>76</v>
      </c>
      <c r="B32" s="218"/>
      <c r="C32" s="219"/>
      <c r="D32" s="220"/>
    </row>
    <row r="33" spans="1:4" x14ac:dyDescent="0.35">
      <c r="A33" s="51" t="s">
        <v>128</v>
      </c>
      <c r="B33" s="58" t="s">
        <v>225</v>
      </c>
      <c r="C33" s="53"/>
      <c r="D33" s="54"/>
    </row>
    <row r="34" spans="1:4" x14ac:dyDescent="0.35">
      <c r="A34" s="26" t="s">
        <v>77</v>
      </c>
      <c r="B34" s="22" t="s">
        <v>5</v>
      </c>
      <c r="C34" s="22" t="s">
        <v>78</v>
      </c>
      <c r="D34" s="24" t="s">
        <v>79</v>
      </c>
    </row>
    <row r="35" spans="1:4" x14ac:dyDescent="0.35">
      <c r="A35" s="221" t="s">
        <v>80</v>
      </c>
      <c r="B35" s="23" t="s">
        <v>81</v>
      </c>
      <c r="C35" s="23" t="s">
        <v>82</v>
      </c>
      <c r="D35" s="224" t="s">
        <v>83</v>
      </c>
    </row>
    <row r="36" spans="1:4" x14ac:dyDescent="0.35">
      <c r="A36" s="222"/>
      <c r="B36" s="23" t="s">
        <v>84</v>
      </c>
      <c r="C36" s="23" t="s">
        <v>85</v>
      </c>
      <c r="D36" s="225"/>
    </row>
    <row r="37" spans="1:4" x14ac:dyDescent="0.35">
      <c r="A37" s="223"/>
      <c r="B37" s="23" t="s">
        <v>86</v>
      </c>
      <c r="C37" s="23" t="s">
        <v>87</v>
      </c>
      <c r="D37" s="225"/>
    </row>
    <row r="38" spans="1:4" x14ac:dyDescent="0.35">
      <c r="A38" s="221" t="s">
        <v>88</v>
      </c>
      <c r="B38" s="23" t="s">
        <v>89</v>
      </c>
      <c r="C38" s="23" t="s">
        <v>90</v>
      </c>
      <c r="D38" s="225"/>
    </row>
    <row r="39" spans="1:4" x14ac:dyDescent="0.35">
      <c r="A39" s="222"/>
      <c r="B39" s="23" t="s">
        <v>91</v>
      </c>
      <c r="C39" s="23" t="s">
        <v>92</v>
      </c>
      <c r="D39" s="225"/>
    </row>
    <row r="40" spans="1:4" x14ac:dyDescent="0.35">
      <c r="A40" s="223"/>
      <c r="B40" s="23" t="s">
        <v>93</v>
      </c>
      <c r="C40" s="23" t="s">
        <v>94</v>
      </c>
      <c r="D40" s="225"/>
    </row>
    <row r="41" spans="1:4" x14ac:dyDescent="0.35">
      <c r="A41" s="221" t="s">
        <v>95</v>
      </c>
      <c r="B41" s="23" t="s">
        <v>96</v>
      </c>
      <c r="C41" s="23" t="s">
        <v>97</v>
      </c>
      <c r="D41" s="225"/>
    </row>
    <row r="42" spans="1:4" x14ac:dyDescent="0.35">
      <c r="A42" s="222"/>
      <c r="B42" s="23" t="s">
        <v>98</v>
      </c>
      <c r="C42" s="23" t="s">
        <v>99</v>
      </c>
      <c r="D42" s="225"/>
    </row>
    <row r="43" spans="1:4" x14ac:dyDescent="0.35">
      <c r="A43" s="222"/>
      <c r="B43" s="23" t="s">
        <v>100</v>
      </c>
      <c r="C43" s="23" t="s">
        <v>101</v>
      </c>
      <c r="D43" s="225"/>
    </row>
    <row r="44" spans="1:4" x14ac:dyDescent="0.35">
      <c r="A44" s="223"/>
      <c r="B44" s="23" t="s">
        <v>102</v>
      </c>
      <c r="C44" s="23" t="s">
        <v>103</v>
      </c>
      <c r="D44" s="226"/>
    </row>
    <row r="45" spans="1:4" x14ac:dyDescent="0.35">
      <c r="A45" s="49"/>
      <c r="B45" s="50"/>
      <c r="C45" s="50"/>
      <c r="D45" s="59"/>
    </row>
    <row r="46" spans="1:4" x14ac:dyDescent="0.35">
      <c r="A46" s="215" t="s">
        <v>75</v>
      </c>
      <c r="B46" s="216"/>
      <c r="C46" s="216"/>
      <c r="D46" s="217"/>
    </row>
    <row r="47" spans="1:4" x14ac:dyDescent="0.35">
      <c r="A47" s="51" t="s">
        <v>76</v>
      </c>
      <c r="B47" s="218"/>
      <c r="C47" s="219"/>
      <c r="D47" s="220"/>
    </row>
    <row r="48" spans="1:4" x14ac:dyDescent="0.35">
      <c r="A48" s="51" t="s">
        <v>128</v>
      </c>
      <c r="B48" s="58" t="s">
        <v>226</v>
      </c>
      <c r="C48" s="53"/>
      <c r="D48" s="54"/>
    </row>
    <row r="49" spans="1:4" x14ac:dyDescent="0.35">
      <c r="A49" s="26" t="s">
        <v>77</v>
      </c>
      <c r="B49" s="22" t="s">
        <v>5</v>
      </c>
      <c r="C49" s="22" t="s">
        <v>78</v>
      </c>
      <c r="D49" s="24" t="s">
        <v>79</v>
      </c>
    </row>
    <row r="50" spans="1:4" x14ac:dyDescent="0.35">
      <c r="A50" s="221" t="s">
        <v>80</v>
      </c>
      <c r="B50" s="23" t="s">
        <v>81</v>
      </c>
      <c r="C50" s="23" t="s">
        <v>82</v>
      </c>
      <c r="D50" s="224" t="s">
        <v>83</v>
      </c>
    </row>
    <row r="51" spans="1:4" x14ac:dyDescent="0.35">
      <c r="A51" s="222"/>
      <c r="B51" s="23" t="s">
        <v>84</v>
      </c>
      <c r="C51" s="23" t="s">
        <v>85</v>
      </c>
      <c r="D51" s="225"/>
    </row>
    <row r="52" spans="1:4" x14ac:dyDescent="0.35">
      <c r="A52" s="223"/>
      <c r="B52" s="23" t="s">
        <v>86</v>
      </c>
      <c r="C52" s="23" t="s">
        <v>87</v>
      </c>
      <c r="D52" s="225"/>
    </row>
    <row r="53" spans="1:4" x14ac:dyDescent="0.35">
      <c r="A53" s="221" t="s">
        <v>88</v>
      </c>
      <c r="B53" s="23" t="s">
        <v>89</v>
      </c>
      <c r="C53" s="23" t="s">
        <v>90</v>
      </c>
      <c r="D53" s="225"/>
    </row>
    <row r="54" spans="1:4" x14ac:dyDescent="0.35">
      <c r="A54" s="222"/>
      <c r="B54" s="23" t="s">
        <v>91</v>
      </c>
      <c r="C54" s="23" t="s">
        <v>92</v>
      </c>
      <c r="D54" s="225"/>
    </row>
    <row r="55" spans="1:4" x14ac:dyDescent="0.35">
      <c r="A55" s="223"/>
      <c r="B55" s="23" t="s">
        <v>93</v>
      </c>
      <c r="C55" s="23" t="s">
        <v>94</v>
      </c>
      <c r="D55" s="225"/>
    </row>
    <row r="56" spans="1:4" x14ac:dyDescent="0.35">
      <c r="A56" s="221" t="s">
        <v>95</v>
      </c>
      <c r="B56" s="23" t="s">
        <v>96</v>
      </c>
      <c r="C56" s="23" t="s">
        <v>97</v>
      </c>
      <c r="D56" s="225"/>
    </row>
    <row r="57" spans="1:4" x14ac:dyDescent="0.35">
      <c r="A57" s="222"/>
      <c r="B57" s="23" t="s">
        <v>98</v>
      </c>
      <c r="C57" s="23" t="s">
        <v>99</v>
      </c>
      <c r="D57" s="225"/>
    </row>
    <row r="58" spans="1:4" x14ac:dyDescent="0.35">
      <c r="A58" s="222"/>
      <c r="B58" s="23" t="s">
        <v>100</v>
      </c>
      <c r="C58" s="23" t="s">
        <v>101</v>
      </c>
      <c r="D58" s="225"/>
    </row>
    <row r="59" spans="1:4" x14ac:dyDescent="0.35">
      <c r="A59" s="223"/>
      <c r="B59" s="23" t="s">
        <v>102</v>
      </c>
      <c r="C59" s="23" t="s">
        <v>103</v>
      </c>
      <c r="D59" s="226"/>
    </row>
    <row r="61" spans="1:4" x14ac:dyDescent="0.35">
      <c r="A61" s="215" t="s">
        <v>75</v>
      </c>
      <c r="B61" s="216"/>
      <c r="C61" s="216"/>
      <c r="D61" s="217"/>
    </row>
    <row r="62" spans="1:4" x14ac:dyDescent="0.35">
      <c r="A62" s="51" t="s">
        <v>76</v>
      </c>
      <c r="B62" s="218"/>
      <c r="C62" s="219"/>
      <c r="D62" s="220"/>
    </row>
    <row r="63" spans="1:4" x14ac:dyDescent="0.35">
      <c r="A63" s="51" t="s">
        <v>128</v>
      </c>
      <c r="B63" s="58" t="s">
        <v>227</v>
      </c>
      <c r="C63" s="53"/>
      <c r="D63" s="54"/>
    </row>
    <row r="64" spans="1:4" x14ac:dyDescent="0.35">
      <c r="A64" s="26" t="s">
        <v>77</v>
      </c>
      <c r="B64" s="22" t="s">
        <v>5</v>
      </c>
      <c r="C64" s="22" t="s">
        <v>78</v>
      </c>
      <c r="D64" s="24" t="s">
        <v>79</v>
      </c>
    </row>
    <row r="65" spans="1:4" x14ac:dyDescent="0.35">
      <c r="A65" s="221" t="s">
        <v>80</v>
      </c>
      <c r="B65" s="23" t="s">
        <v>81</v>
      </c>
      <c r="C65" s="23" t="s">
        <v>82</v>
      </c>
      <c r="D65" s="224" t="s">
        <v>83</v>
      </c>
    </row>
    <row r="66" spans="1:4" x14ac:dyDescent="0.35">
      <c r="A66" s="222"/>
      <c r="B66" s="23" t="s">
        <v>84</v>
      </c>
      <c r="C66" s="23" t="s">
        <v>85</v>
      </c>
      <c r="D66" s="225"/>
    </row>
    <row r="67" spans="1:4" x14ac:dyDescent="0.35">
      <c r="A67" s="223"/>
      <c r="B67" s="23" t="s">
        <v>86</v>
      </c>
      <c r="C67" s="23" t="s">
        <v>87</v>
      </c>
      <c r="D67" s="225"/>
    </row>
    <row r="68" spans="1:4" x14ac:dyDescent="0.35">
      <c r="A68" s="221" t="s">
        <v>88</v>
      </c>
      <c r="B68" s="23" t="s">
        <v>89</v>
      </c>
      <c r="C68" s="23" t="s">
        <v>90</v>
      </c>
      <c r="D68" s="225"/>
    </row>
    <row r="69" spans="1:4" x14ac:dyDescent="0.35">
      <c r="A69" s="222"/>
      <c r="B69" s="23" t="s">
        <v>91</v>
      </c>
      <c r="C69" s="23" t="s">
        <v>92</v>
      </c>
      <c r="D69" s="225"/>
    </row>
    <row r="70" spans="1:4" x14ac:dyDescent="0.35">
      <c r="A70" s="223"/>
      <c r="B70" s="23" t="s">
        <v>93</v>
      </c>
      <c r="C70" s="23" t="s">
        <v>94</v>
      </c>
      <c r="D70" s="225"/>
    </row>
    <row r="71" spans="1:4" x14ac:dyDescent="0.35">
      <c r="A71" s="221" t="s">
        <v>95</v>
      </c>
      <c r="B71" s="23" t="s">
        <v>96</v>
      </c>
      <c r="C71" s="23" t="s">
        <v>97</v>
      </c>
      <c r="D71" s="225"/>
    </row>
    <row r="72" spans="1:4" x14ac:dyDescent="0.35">
      <c r="A72" s="222"/>
      <c r="B72" s="23" t="s">
        <v>98</v>
      </c>
      <c r="C72" s="23" t="s">
        <v>99</v>
      </c>
      <c r="D72" s="225"/>
    </row>
    <row r="73" spans="1:4" x14ac:dyDescent="0.35">
      <c r="A73" s="222"/>
      <c r="B73" s="23" t="s">
        <v>100</v>
      </c>
      <c r="C73" s="23" t="s">
        <v>101</v>
      </c>
      <c r="D73" s="225"/>
    </row>
    <row r="74" spans="1:4" x14ac:dyDescent="0.35">
      <c r="A74" s="223"/>
      <c r="B74" s="23" t="s">
        <v>102</v>
      </c>
      <c r="C74" s="23" t="s">
        <v>103</v>
      </c>
      <c r="D74" s="226"/>
    </row>
    <row r="76" spans="1:4" x14ac:dyDescent="0.35">
      <c r="A76" s="215" t="s">
        <v>75</v>
      </c>
      <c r="B76" s="216"/>
      <c r="C76" s="216"/>
      <c r="D76" s="217"/>
    </row>
    <row r="77" spans="1:4" x14ac:dyDescent="0.35">
      <c r="A77" s="51" t="s">
        <v>76</v>
      </c>
      <c r="B77" s="218"/>
      <c r="C77" s="219"/>
      <c r="D77" s="220"/>
    </row>
    <row r="78" spans="1:4" x14ac:dyDescent="0.35">
      <c r="A78" s="51" t="s">
        <v>128</v>
      </c>
      <c r="B78" s="58" t="s">
        <v>228</v>
      </c>
      <c r="C78" s="53"/>
      <c r="D78" s="54"/>
    </row>
    <row r="79" spans="1:4" x14ac:dyDescent="0.35">
      <c r="A79" s="26" t="s">
        <v>77</v>
      </c>
      <c r="B79" s="22" t="s">
        <v>5</v>
      </c>
      <c r="C79" s="22" t="s">
        <v>78</v>
      </c>
      <c r="D79" s="24" t="s">
        <v>79</v>
      </c>
    </row>
    <row r="80" spans="1:4" x14ac:dyDescent="0.35">
      <c r="A80" s="221" t="s">
        <v>80</v>
      </c>
      <c r="B80" s="23" t="s">
        <v>81</v>
      </c>
      <c r="C80" s="23" t="s">
        <v>82</v>
      </c>
      <c r="D80" s="224" t="s">
        <v>83</v>
      </c>
    </row>
    <row r="81" spans="1:4" x14ac:dyDescent="0.35">
      <c r="A81" s="222"/>
      <c r="B81" s="23" t="s">
        <v>84</v>
      </c>
      <c r="C81" s="23" t="s">
        <v>85</v>
      </c>
      <c r="D81" s="225"/>
    </row>
    <row r="82" spans="1:4" x14ac:dyDescent="0.35">
      <c r="A82" s="223"/>
      <c r="B82" s="23" t="s">
        <v>86</v>
      </c>
      <c r="C82" s="23" t="s">
        <v>87</v>
      </c>
      <c r="D82" s="225"/>
    </row>
    <row r="83" spans="1:4" x14ac:dyDescent="0.35">
      <c r="A83" s="221" t="s">
        <v>88</v>
      </c>
      <c r="B83" s="23" t="s">
        <v>89</v>
      </c>
      <c r="C83" s="23" t="s">
        <v>90</v>
      </c>
      <c r="D83" s="225"/>
    </row>
    <row r="84" spans="1:4" x14ac:dyDescent="0.35">
      <c r="A84" s="222"/>
      <c r="B84" s="23" t="s">
        <v>91</v>
      </c>
      <c r="C84" s="23" t="s">
        <v>92</v>
      </c>
      <c r="D84" s="225"/>
    </row>
    <row r="85" spans="1:4" x14ac:dyDescent="0.35">
      <c r="A85" s="223"/>
      <c r="B85" s="23" t="s">
        <v>93</v>
      </c>
      <c r="C85" s="23" t="s">
        <v>94</v>
      </c>
      <c r="D85" s="225"/>
    </row>
    <row r="86" spans="1:4" x14ac:dyDescent="0.35">
      <c r="A86" s="221" t="s">
        <v>95</v>
      </c>
      <c r="B86" s="23" t="s">
        <v>96</v>
      </c>
      <c r="C86" s="23" t="s">
        <v>97</v>
      </c>
      <c r="D86" s="225"/>
    </row>
    <row r="87" spans="1:4" x14ac:dyDescent="0.35">
      <c r="A87" s="222"/>
      <c r="B87" s="23" t="s">
        <v>98</v>
      </c>
      <c r="C87" s="23" t="s">
        <v>99</v>
      </c>
      <c r="D87" s="225"/>
    </row>
    <row r="88" spans="1:4" x14ac:dyDescent="0.35">
      <c r="A88" s="222"/>
      <c r="B88" s="23" t="s">
        <v>100</v>
      </c>
      <c r="C88" s="23" t="s">
        <v>101</v>
      </c>
      <c r="D88" s="225"/>
    </row>
    <row r="89" spans="1:4" x14ac:dyDescent="0.35">
      <c r="A89" s="223"/>
      <c r="B89" s="23" t="s">
        <v>102</v>
      </c>
      <c r="C89" s="23" t="s">
        <v>103</v>
      </c>
      <c r="D89" s="226"/>
    </row>
    <row r="91" spans="1:4" x14ac:dyDescent="0.35">
      <c r="A91" s="215" t="s">
        <v>75</v>
      </c>
      <c r="B91" s="216"/>
      <c r="C91" s="216"/>
      <c r="D91" s="217"/>
    </row>
    <row r="92" spans="1:4" x14ac:dyDescent="0.35">
      <c r="A92" s="51" t="s">
        <v>76</v>
      </c>
      <c r="B92" s="218"/>
      <c r="C92" s="219"/>
      <c r="D92" s="220"/>
    </row>
    <row r="93" spans="1:4" x14ac:dyDescent="0.35">
      <c r="A93" s="51" t="s">
        <v>128</v>
      </c>
      <c r="B93" s="58" t="s">
        <v>229</v>
      </c>
      <c r="C93" s="53"/>
      <c r="D93" s="54"/>
    </row>
    <row r="94" spans="1:4" x14ac:dyDescent="0.35">
      <c r="A94" s="26" t="s">
        <v>77</v>
      </c>
      <c r="B94" s="22" t="s">
        <v>5</v>
      </c>
      <c r="C94" s="22" t="s">
        <v>78</v>
      </c>
      <c r="D94" s="24" t="s">
        <v>79</v>
      </c>
    </row>
    <row r="95" spans="1:4" x14ac:dyDescent="0.35">
      <c r="A95" s="221" t="s">
        <v>80</v>
      </c>
      <c r="B95" s="23" t="s">
        <v>81</v>
      </c>
      <c r="C95" s="23" t="s">
        <v>82</v>
      </c>
      <c r="D95" s="224" t="s">
        <v>83</v>
      </c>
    </row>
    <row r="96" spans="1:4" x14ac:dyDescent="0.35">
      <c r="A96" s="222"/>
      <c r="B96" s="23" t="s">
        <v>84</v>
      </c>
      <c r="C96" s="23" t="s">
        <v>85</v>
      </c>
      <c r="D96" s="225"/>
    </row>
    <row r="97" spans="1:4" x14ac:dyDescent="0.35">
      <c r="A97" s="223"/>
      <c r="B97" s="23" t="s">
        <v>86</v>
      </c>
      <c r="C97" s="23" t="s">
        <v>87</v>
      </c>
      <c r="D97" s="225"/>
    </row>
    <row r="98" spans="1:4" x14ac:dyDescent="0.35">
      <c r="A98" s="221" t="s">
        <v>88</v>
      </c>
      <c r="B98" s="23" t="s">
        <v>89</v>
      </c>
      <c r="C98" s="23" t="s">
        <v>90</v>
      </c>
      <c r="D98" s="225"/>
    </row>
    <row r="99" spans="1:4" x14ac:dyDescent="0.35">
      <c r="A99" s="222"/>
      <c r="B99" s="23" t="s">
        <v>91</v>
      </c>
      <c r="C99" s="23" t="s">
        <v>92</v>
      </c>
      <c r="D99" s="225"/>
    </row>
    <row r="100" spans="1:4" x14ac:dyDescent="0.35">
      <c r="A100" s="223"/>
      <c r="B100" s="23" t="s">
        <v>93</v>
      </c>
      <c r="C100" s="23" t="s">
        <v>94</v>
      </c>
      <c r="D100" s="225"/>
    </row>
    <row r="101" spans="1:4" x14ac:dyDescent="0.35">
      <c r="A101" s="221" t="s">
        <v>95</v>
      </c>
      <c r="B101" s="23" t="s">
        <v>96</v>
      </c>
      <c r="C101" s="23" t="s">
        <v>97</v>
      </c>
      <c r="D101" s="225"/>
    </row>
    <row r="102" spans="1:4" x14ac:dyDescent="0.35">
      <c r="A102" s="222"/>
      <c r="B102" s="23" t="s">
        <v>98</v>
      </c>
      <c r="C102" s="23" t="s">
        <v>99</v>
      </c>
      <c r="D102" s="225"/>
    </row>
    <row r="103" spans="1:4" x14ac:dyDescent="0.35">
      <c r="A103" s="222"/>
      <c r="B103" s="23" t="s">
        <v>100</v>
      </c>
      <c r="C103" s="23" t="s">
        <v>101</v>
      </c>
      <c r="D103" s="225"/>
    </row>
    <row r="104" spans="1:4" x14ac:dyDescent="0.35">
      <c r="A104" s="223"/>
      <c r="B104" s="23" t="s">
        <v>102</v>
      </c>
      <c r="C104" s="23" t="s">
        <v>103</v>
      </c>
      <c r="D104" s="226"/>
    </row>
    <row r="106" spans="1:4" x14ac:dyDescent="0.35">
      <c r="A106" s="215" t="s">
        <v>75</v>
      </c>
      <c r="B106" s="216"/>
      <c r="C106" s="216"/>
      <c r="D106" s="217"/>
    </row>
    <row r="107" spans="1:4" x14ac:dyDescent="0.35">
      <c r="A107" s="51" t="s">
        <v>76</v>
      </c>
      <c r="B107" s="218"/>
      <c r="C107" s="219"/>
      <c r="D107" s="220"/>
    </row>
    <row r="108" spans="1:4" x14ac:dyDescent="0.35">
      <c r="A108" s="51" t="s">
        <v>128</v>
      </c>
      <c r="B108" s="58" t="s">
        <v>230</v>
      </c>
      <c r="C108" s="53"/>
      <c r="D108" s="54"/>
    </row>
    <row r="109" spans="1:4" x14ac:dyDescent="0.35">
      <c r="A109" s="26" t="s">
        <v>77</v>
      </c>
      <c r="B109" s="22" t="s">
        <v>5</v>
      </c>
      <c r="C109" s="22" t="s">
        <v>78</v>
      </c>
      <c r="D109" s="24" t="s">
        <v>79</v>
      </c>
    </row>
    <row r="110" spans="1:4" x14ac:dyDescent="0.35">
      <c r="A110" s="221" t="s">
        <v>80</v>
      </c>
      <c r="B110" s="23" t="s">
        <v>81</v>
      </c>
      <c r="C110" s="23" t="s">
        <v>82</v>
      </c>
      <c r="D110" s="224" t="s">
        <v>83</v>
      </c>
    </row>
    <row r="111" spans="1:4" x14ac:dyDescent="0.35">
      <c r="A111" s="222"/>
      <c r="B111" s="23" t="s">
        <v>84</v>
      </c>
      <c r="C111" s="23" t="s">
        <v>85</v>
      </c>
      <c r="D111" s="225"/>
    </row>
    <row r="112" spans="1:4" x14ac:dyDescent="0.35">
      <c r="A112" s="223"/>
      <c r="B112" s="23" t="s">
        <v>86</v>
      </c>
      <c r="C112" s="23" t="s">
        <v>87</v>
      </c>
      <c r="D112" s="225"/>
    </row>
    <row r="113" spans="1:4" x14ac:dyDescent="0.35">
      <c r="A113" s="221" t="s">
        <v>88</v>
      </c>
      <c r="B113" s="23" t="s">
        <v>89</v>
      </c>
      <c r="C113" s="23" t="s">
        <v>90</v>
      </c>
      <c r="D113" s="225"/>
    </row>
    <row r="114" spans="1:4" x14ac:dyDescent="0.35">
      <c r="A114" s="222"/>
      <c r="B114" s="23" t="s">
        <v>91</v>
      </c>
      <c r="C114" s="23" t="s">
        <v>92</v>
      </c>
      <c r="D114" s="225"/>
    </row>
    <row r="115" spans="1:4" x14ac:dyDescent="0.35">
      <c r="A115" s="223"/>
      <c r="B115" s="23" t="s">
        <v>93</v>
      </c>
      <c r="C115" s="23" t="s">
        <v>94</v>
      </c>
      <c r="D115" s="225"/>
    </row>
    <row r="116" spans="1:4" x14ac:dyDescent="0.35">
      <c r="A116" s="221" t="s">
        <v>95</v>
      </c>
      <c r="B116" s="23" t="s">
        <v>96</v>
      </c>
      <c r="C116" s="23" t="s">
        <v>97</v>
      </c>
      <c r="D116" s="225"/>
    </row>
    <row r="117" spans="1:4" x14ac:dyDescent="0.35">
      <c r="A117" s="222"/>
      <c r="B117" s="23" t="s">
        <v>98</v>
      </c>
      <c r="C117" s="23" t="s">
        <v>99</v>
      </c>
      <c r="D117" s="225"/>
    </row>
    <row r="118" spans="1:4" x14ac:dyDescent="0.35">
      <c r="A118" s="222"/>
      <c r="B118" s="23" t="s">
        <v>100</v>
      </c>
      <c r="C118" s="23" t="s">
        <v>101</v>
      </c>
      <c r="D118" s="225"/>
    </row>
    <row r="119" spans="1:4" x14ac:dyDescent="0.35">
      <c r="A119" s="223"/>
      <c r="B119" s="23" t="s">
        <v>102</v>
      </c>
      <c r="C119" s="23" t="s">
        <v>103</v>
      </c>
      <c r="D119" s="226"/>
    </row>
    <row r="121" spans="1:4" x14ac:dyDescent="0.35">
      <c r="A121" s="215" t="s">
        <v>75</v>
      </c>
      <c r="B121" s="216"/>
      <c r="C121" s="216"/>
      <c r="D121" s="217"/>
    </row>
    <row r="122" spans="1:4" x14ac:dyDescent="0.35">
      <c r="A122" s="51" t="s">
        <v>76</v>
      </c>
      <c r="B122" s="218"/>
      <c r="C122" s="219"/>
      <c r="D122" s="220"/>
    </row>
    <row r="123" spans="1:4" x14ac:dyDescent="0.35">
      <c r="A123" s="51" t="s">
        <v>128</v>
      </c>
      <c r="B123" s="58" t="s">
        <v>231</v>
      </c>
      <c r="C123" s="53"/>
      <c r="D123" s="54"/>
    </row>
    <row r="124" spans="1:4" x14ac:dyDescent="0.35">
      <c r="A124" s="26" t="s">
        <v>77</v>
      </c>
      <c r="B124" s="22" t="s">
        <v>5</v>
      </c>
      <c r="C124" s="22" t="s">
        <v>78</v>
      </c>
      <c r="D124" s="24" t="s">
        <v>79</v>
      </c>
    </row>
    <row r="125" spans="1:4" x14ac:dyDescent="0.35">
      <c r="A125" s="221" t="s">
        <v>80</v>
      </c>
      <c r="B125" s="23" t="s">
        <v>81</v>
      </c>
      <c r="C125" s="23" t="s">
        <v>82</v>
      </c>
      <c r="D125" s="224" t="s">
        <v>83</v>
      </c>
    </row>
    <row r="126" spans="1:4" x14ac:dyDescent="0.35">
      <c r="A126" s="222"/>
      <c r="B126" s="23" t="s">
        <v>84</v>
      </c>
      <c r="C126" s="23" t="s">
        <v>85</v>
      </c>
      <c r="D126" s="225"/>
    </row>
    <row r="127" spans="1:4" x14ac:dyDescent="0.35">
      <c r="A127" s="223"/>
      <c r="B127" s="23" t="s">
        <v>86</v>
      </c>
      <c r="C127" s="23" t="s">
        <v>87</v>
      </c>
      <c r="D127" s="225"/>
    </row>
    <row r="128" spans="1:4" x14ac:dyDescent="0.35">
      <c r="A128" s="221" t="s">
        <v>88</v>
      </c>
      <c r="B128" s="23" t="s">
        <v>89</v>
      </c>
      <c r="C128" s="23" t="s">
        <v>90</v>
      </c>
      <c r="D128" s="225"/>
    </row>
    <row r="129" spans="1:4" x14ac:dyDescent="0.35">
      <c r="A129" s="222"/>
      <c r="B129" s="23" t="s">
        <v>91</v>
      </c>
      <c r="C129" s="23" t="s">
        <v>92</v>
      </c>
      <c r="D129" s="225"/>
    </row>
    <row r="130" spans="1:4" x14ac:dyDescent="0.35">
      <c r="A130" s="223"/>
      <c r="B130" s="23" t="s">
        <v>93</v>
      </c>
      <c r="C130" s="23" t="s">
        <v>94</v>
      </c>
      <c r="D130" s="225"/>
    </row>
    <row r="131" spans="1:4" x14ac:dyDescent="0.35">
      <c r="A131" s="221" t="s">
        <v>95</v>
      </c>
      <c r="B131" s="23" t="s">
        <v>96</v>
      </c>
      <c r="C131" s="23" t="s">
        <v>97</v>
      </c>
      <c r="D131" s="225"/>
    </row>
    <row r="132" spans="1:4" x14ac:dyDescent="0.35">
      <c r="A132" s="222"/>
      <c r="B132" s="23" t="s">
        <v>98</v>
      </c>
      <c r="C132" s="23" t="s">
        <v>99</v>
      </c>
      <c r="D132" s="225"/>
    </row>
    <row r="133" spans="1:4" x14ac:dyDescent="0.35">
      <c r="A133" s="222"/>
      <c r="B133" s="23" t="s">
        <v>100</v>
      </c>
      <c r="C133" s="23" t="s">
        <v>101</v>
      </c>
      <c r="D133" s="225"/>
    </row>
    <row r="134" spans="1:4" x14ac:dyDescent="0.35">
      <c r="A134" s="223"/>
      <c r="B134" s="23" t="s">
        <v>102</v>
      </c>
      <c r="C134" s="23" t="s">
        <v>103</v>
      </c>
      <c r="D134" s="226"/>
    </row>
    <row r="136" spans="1:4" x14ac:dyDescent="0.35">
      <c r="A136" s="215" t="s">
        <v>75</v>
      </c>
      <c r="B136" s="216"/>
      <c r="C136" s="216"/>
      <c r="D136" s="217"/>
    </row>
    <row r="137" spans="1:4" x14ac:dyDescent="0.35">
      <c r="A137" s="51" t="s">
        <v>76</v>
      </c>
      <c r="B137" s="218"/>
      <c r="C137" s="219"/>
      <c r="D137" s="220"/>
    </row>
    <row r="138" spans="1:4" x14ac:dyDescent="0.35">
      <c r="A138" s="51" t="s">
        <v>128</v>
      </c>
      <c r="B138" s="58" t="s">
        <v>232</v>
      </c>
      <c r="C138" s="53"/>
      <c r="D138" s="54"/>
    </row>
    <row r="139" spans="1:4" x14ac:dyDescent="0.35">
      <c r="A139" s="26" t="s">
        <v>77</v>
      </c>
      <c r="B139" s="22" t="s">
        <v>5</v>
      </c>
      <c r="C139" s="22" t="s">
        <v>78</v>
      </c>
      <c r="D139" s="24" t="s">
        <v>79</v>
      </c>
    </row>
    <row r="140" spans="1:4" x14ac:dyDescent="0.35">
      <c r="A140" s="221" t="s">
        <v>80</v>
      </c>
      <c r="B140" s="23" t="s">
        <v>81</v>
      </c>
      <c r="C140" s="23" t="s">
        <v>82</v>
      </c>
      <c r="D140" s="224" t="s">
        <v>83</v>
      </c>
    </row>
    <row r="141" spans="1:4" x14ac:dyDescent="0.35">
      <c r="A141" s="222"/>
      <c r="B141" s="23" t="s">
        <v>84</v>
      </c>
      <c r="C141" s="23" t="s">
        <v>85</v>
      </c>
      <c r="D141" s="225"/>
    </row>
    <row r="142" spans="1:4" x14ac:dyDescent="0.35">
      <c r="A142" s="223"/>
      <c r="B142" s="23" t="s">
        <v>86</v>
      </c>
      <c r="C142" s="23" t="s">
        <v>87</v>
      </c>
      <c r="D142" s="225"/>
    </row>
    <row r="143" spans="1:4" x14ac:dyDescent="0.35">
      <c r="A143" s="221" t="s">
        <v>88</v>
      </c>
      <c r="B143" s="23" t="s">
        <v>89</v>
      </c>
      <c r="C143" s="23" t="s">
        <v>90</v>
      </c>
      <c r="D143" s="225"/>
    </row>
    <row r="144" spans="1:4" x14ac:dyDescent="0.35">
      <c r="A144" s="222"/>
      <c r="B144" s="23" t="s">
        <v>91</v>
      </c>
      <c r="C144" s="23" t="s">
        <v>92</v>
      </c>
      <c r="D144" s="225"/>
    </row>
    <row r="145" spans="1:4" x14ac:dyDescent="0.35">
      <c r="A145" s="223"/>
      <c r="B145" s="23" t="s">
        <v>93</v>
      </c>
      <c r="C145" s="23" t="s">
        <v>94</v>
      </c>
      <c r="D145" s="225"/>
    </row>
    <row r="146" spans="1:4" x14ac:dyDescent="0.35">
      <c r="A146" s="221" t="s">
        <v>95</v>
      </c>
      <c r="B146" s="23" t="s">
        <v>96</v>
      </c>
      <c r="C146" s="23" t="s">
        <v>97</v>
      </c>
      <c r="D146" s="225"/>
    </row>
    <row r="147" spans="1:4" x14ac:dyDescent="0.35">
      <c r="A147" s="222"/>
      <c r="B147" s="23" t="s">
        <v>98</v>
      </c>
      <c r="C147" s="23" t="s">
        <v>99</v>
      </c>
      <c r="D147" s="225"/>
    </row>
    <row r="148" spans="1:4" x14ac:dyDescent="0.35">
      <c r="A148" s="222"/>
      <c r="B148" s="23" t="s">
        <v>100</v>
      </c>
      <c r="C148" s="23" t="s">
        <v>101</v>
      </c>
      <c r="D148" s="225"/>
    </row>
    <row r="149" spans="1:4" x14ac:dyDescent="0.35">
      <c r="A149" s="223"/>
      <c r="B149" s="23" t="s">
        <v>102</v>
      </c>
      <c r="C149" s="23" t="s">
        <v>103</v>
      </c>
      <c r="D149" s="226"/>
    </row>
    <row r="151" spans="1:4" x14ac:dyDescent="0.35">
      <c r="A151" s="215" t="s">
        <v>75</v>
      </c>
      <c r="B151" s="216"/>
      <c r="C151" s="216"/>
      <c r="D151" s="217"/>
    </row>
    <row r="152" spans="1:4" x14ac:dyDescent="0.35">
      <c r="A152" s="51" t="s">
        <v>76</v>
      </c>
      <c r="B152" s="218"/>
      <c r="C152" s="219"/>
      <c r="D152" s="220"/>
    </row>
    <row r="153" spans="1:4" x14ac:dyDescent="0.35">
      <c r="A153" s="51" t="s">
        <v>128</v>
      </c>
      <c r="B153" s="58" t="s">
        <v>233</v>
      </c>
      <c r="C153" s="53"/>
      <c r="D153" s="54"/>
    </row>
    <row r="154" spans="1:4" x14ac:dyDescent="0.35">
      <c r="A154" s="26" t="s">
        <v>77</v>
      </c>
      <c r="B154" s="22" t="s">
        <v>5</v>
      </c>
      <c r="C154" s="22" t="s">
        <v>78</v>
      </c>
      <c r="D154" s="24" t="s">
        <v>79</v>
      </c>
    </row>
    <row r="155" spans="1:4" x14ac:dyDescent="0.35">
      <c r="A155" s="221" t="s">
        <v>80</v>
      </c>
      <c r="B155" s="23" t="s">
        <v>81</v>
      </c>
      <c r="C155" s="23" t="s">
        <v>82</v>
      </c>
      <c r="D155" s="224" t="s">
        <v>83</v>
      </c>
    </row>
    <row r="156" spans="1:4" x14ac:dyDescent="0.35">
      <c r="A156" s="222"/>
      <c r="B156" s="23" t="s">
        <v>84</v>
      </c>
      <c r="C156" s="23" t="s">
        <v>85</v>
      </c>
      <c r="D156" s="225"/>
    </row>
    <row r="157" spans="1:4" x14ac:dyDescent="0.35">
      <c r="A157" s="223"/>
      <c r="B157" s="23" t="s">
        <v>86</v>
      </c>
      <c r="C157" s="23" t="s">
        <v>87</v>
      </c>
      <c r="D157" s="225"/>
    </row>
    <row r="158" spans="1:4" x14ac:dyDescent="0.35">
      <c r="A158" s="221" t="s">
        <v>88</v>
      </c>
      <c r="B158" s="23" t="s">
        <v>89</v>
      </c>
      <c r="C158" s="23" t="s">
        <v>90</v>
      </c>
      <c r="D158" s="225"/>
    </row>
    <row r="159" spans="1:4" x14ac:dyDescent="0.35">
      <c r="A159" s="222"/>
      <c r="B159" s="23" t="s">
        <v>91</v>
      </c>
      <c r="C159" s="23" t="s">
        <v>92</v>
      </c>
      <c r="D159" s="225"/>
    </row>
    <row r="160" spans="1:4" x14ac:dyDescent="0.35">
      <c r="A160" s="223"/>
      <c r="B160" s="23" t="s">
        <v>93</v>
      </c>
      <c r="C160" s="23" t="s">
        <v>94</v>
      </c>
      <c r="D160" s="225"/>
    </row>
    <row r="161" spans="1:4" x14ac:dyDescent="0.35">
      <c r="A161" s="221" t="s">
        <v>95</v>
      </c>
      <c r="B161" s="23" t="s">
        <v>96</v>
      </c>
      <c r="C161" s="23" t="s">
        <v>97</v>
      </c>
      <c r="D161" s="225"/>
    </row>
    <row r="162" spans="1:4" x14ac:dyDescent="0.35">
      <c r="A162" s="222"/>
      <c r="B162" s="23" t="s">
        <v>98</v>
      </c>
      <c r="C162" s="23" t="s">
        <v>99</v>
      </c>
      <c r="D162" s="225"/>
    </row>
    <row r="163" spans="1:4" x14ac:dyDescent="0.35">
      <c r="A163" s="222"/>
      <c r="B163" s="23" t="s">
        <v>100</v>
      </c>
      <c r="C163" s="23" t="s">
        <v>101</v>
      </c>
      <c r="D163" s="225"/>
    </row>
    <row r="164" spans="1:4" x14ac:dyDescent="0.35">
      <c r="A164" s="223"/>
      <c r="B164" s="23" t="s">
        <v>102</v>
      </c>
      <c r="C164" s="23" t="s">
        <v>103</v>
      </c>
      <c r="D164" s="226"/>
    </row>
    <row r="167" spans="1:4" x14ac:dyDescent="0.35">
      <c r="A167" s="215" t="s">
        <v>75</v>
      </c>
      <c r="B167" s="216"/>
      <c r="C167" s="216"/>
      <c r="D167" s="217"/>
    </row>
    <row r="168" spans="1:4" x14ac:dyDescent="0.35">
      <c r="A168" s="51" t="s">
        <v>76</v>
      </c>
      <c r="B168" s="218"/>
      <c r="C168" s="219"/>
      <c r="D168" s="220"/>
    </row>
    <row r="169" spans="1:4" x14ac:dyDescent="0.35">
      <c r="A169" s="51" t="s">
        <v>128</v>
      </c>
      <c r="B169" s="58" t="s">
        <v>234</v>
      </c>
      <c r="C169" s="53"/>
      <c r="D169" s="54"/>
    </row>
    <row r="170" spans="1:4" x14ac:dyDescent="0.35">
      <c r="A170" s="26" t="s">
        <v>77</v>
      </c>
      <c r="B170" s="22" t="s">
        <v>5</v>
      </c>
      <c r="C170" s="22" t="s">
        <v>78</v>
      </c>
      <c r="D170" s="24" t="s">
        <v>79</v>
      </c>
    </row>
    <row r="171" spans="1:4" x14ac:dyDescent="0.35">
      <c r="A171" s="221" t="s">
        <v>80</v>
      </c>
      <c r="B171" s="23" t="s">
        <v>81</v>
      </c>
      <c r="C171" s="23" t="s">
        <v>82</v>
      </c>
      <c r="D171" s="224" t="s">
        <v>83</v>
      </c>
    </row>
    <row r="172" spans="1:4" x14ac:dyDescent="0.35">
      <c r="A172" s="222"/>
      <c r="B172" s="23" t="s">
        <v>84</v>
      </c>
      <c r="C172" s="23" t="s">
        <v>85</v>
      </c>
      <c r="D172" s="225"/>
    </row>
    <row r="173" spans="1:4" x14ac:dyDescent="0.35">
      <c r="A173" s="223"/>
      <c r="B173" s="23" t="s">
        <v>86</v>
      </c>
      <c r="C173" s="23" t="s">
        <v>87</v>
      </c>
      <c r="D173" s="225"/>
    </row>
    <row r="174" spans="1:4" x14ac:dyDescent="0.35">
      <c r="A174" s="221" t="s">
        <v>88</v>
      </c>
      <c r="B174" s="23" t="s">
        <v>89</v>
      </c>
      <c r="C174" s="23" t="s">
        <v>90</v>
      </c>
      <c r="D174" s="225"/>
    </row>
    <row r="175" spans="1:4" x14ac:dyDescent="0.35">
      <c r="A175" s="222"/>
      <c r="B175" s="23" t="s">
        <v>91</v>
      </c>
      <c r="C175" s="23" t="s">
        <v>92</v>
      </c>
      <c r="D175" s="225"/>
    </row>
    <row r="176" spans="1:4" x14ac:dyDescent="0.35">
      <c r="A176" s="223"/>
      <c r="B176" s="23" t="s">
        <v>93</v>
      </c>
      <c r="C176" s="23" t="s">
        <v>94</v>
      </c>
      <c r="D176" s="225"/>
    </row>
    <row r="177" spans="1:4" x14ac:dyDescent="0.35">
      <c r="A177" s="221" t="s">
        <v>95</v>
      </c>
      <c r="B177" s="23" t="s">
        <v>96</v>
      </c>
      <c r="C177" s="23" t="s">
        <v>97</v>
      </c>
      <c r="D177" s="225"/>
    </row>
    <row r="178" spans="1:4" x14ac:dyDescent="0.35">
      <c r="A178" s="222"/>
      <c r="B178" s="23" t="s">
        <v>98</v>
      </c>
      <c r="C178" s="23" t="s">
        <v>99</v>
      </c>
      <c r="D178" s="225"/>
    </row>
    <row r="179" spans="1:4" x14ac:dyDescent="0.35">
      <c r="A179" s="222"/>
      <c r="B179" s="23" t="s">
        <v>100</v>
      </c>
      <c r="C179" s="23" t="s">
        <v>101</v>
      </c>
      <c r="D179" s="225"/>
    </row>
    <row r="180" spans="1:4" x14ac:dyDescent="0.35">
      <c r="A180" s="223"/>
      <c r="B180" s="23" t="s">
        <v>102</v>
      </c>
      <c r="C180" s="23" t="s">
        <v>103</v>
      </c>
      <c r="D180" s="226"/>
    </row>
    <row r="183" spans="1:4" x14ac:dyDescent="0.35">
      <c r="A183" s="215" t="s">
        <v>75</v>
      </c>
      <c r="B183" s="216"/>
      <c r="C183" s="216"/>
      <c r="D183" s="217"/>
    </row>
    <row r="184" spans="1:4" x14ac:dyDescent="0.35">
      <c r="A184" s="51" t="s">
        <v>76</v>
      </c>
      <c r="B184" s="218"/>
      <c r="C184" s="219"/>
      <c r="D184" s="220"/>
    </row>
    <row r="185" spans="1:4" x14ac:dyDescent="0.35">
      <c r="A185" s="51" t="s">
        <v>128</v>
      </c>
      <c r="B185" s="58" t="s">
        <v>235</v>
      </c>
      <c r="C185" s="53"/>
      <c r="D185" s="54"/>
    </row>
    <row r="186" spans="1:4" x14ac:dyDescent="0.35">
      <c r="A186" s="26" t="s">
        <v>77</v>
      </c>
      <c r="B186" s="22" t="s">
        <v>5</v>
      </c>
      <c r="C186" s="22" t="s">
        <v>78</v>
      </c>
      <c r="D186" s="24" t="s">
        <v>79</v>
      </c>
    </row>
    <row r="187" spans="1:4" x14ac:dyDescent="0.35">
      <c r="A187" s="221" t="s">
        <v>80</v>
      </c>
      <c r="B187" s="23" t="s">
        <v>81</v>
      </c>
      <c r="C187" s="23" t="s">
        <v>82</v>
      </c>
      <c r="D187" s="224" t="s">
        <v>83</v>
      </c>
    </row>
    <row r="188" spans="1:4" x14ac:dyDescent="0.35">
      <c r="A188" s="222"/>
      <c r="B188" s="23" t="s">
        <v>84</v>
      </c>
      <c r="C188" s="23" t="s">
        <v>85</v>
      </c>
      <c r="D188" s="225"/>
    </row>
    <row r="189" spans="1:4" x14ac:dyDescent="0.35">
      <c r="A189" s="223"/>
      <c r="B189" s="23" t="s">
        <v>86</v>
      </c>
      <c r="C189" s="23" t="s">
        <v>87</v>
      </c>
      <c r="D189" s="225"/>
    </row>
    <row r="190" spans="1:4" x14ac:dyDescent="0.35">
      <c r="A190" s="221" t="s">
        <v>88</v>
      </c>
      <c r="B190" s="23" t="s">
        <v>89</v>
      </c>
      <c r="C190" s="23" t="s">
        <v>90</v>
      </c>
      <c r="D190" s="225"/>
    </row>
    <row r="191" spans="1:4" x14ac:dyDescent="0.35">
      <c r="A191" s="222"/>
      <c r="B191" s="23" t="s">
        <v>91</v>
      </c>
      <c r="C191" s="23" t="s">
        <v>92</v>
      </c>
      <c r="D191" s="225"/>
    </row>
    <row r="192" spans="1:4" x14ac:dyDescent="0.35">
      <c r="A192" s="223"/>
      <c r="B192" s="23" t="s">
        <v>93</v>
      </c>
      <c r="C192" s="23" t="s">
        <v>94</v>
      </c>
      <c r="D192" s="225"/>
    </row>
    <row r="193" spans="1:4" x14ac:dyDescent="0.35">
      <c r="A193" s="221" t="s">
        <v>95</v>
      </c>
      <c r="B193" s="23" t="s">
        <v>96</v>
      </c>
      <c r="C193" s="23" t="s">
        <v>97</v>
      </c>
      <c r="D193" s="225"/>
    </row>
    <row r="194" spans="1:4" x14ac:dyDescent="0.35">
      <c r="A194" s="222"/>
      <c r="B194" s="23" t="s">
        <v>98</v>
      </c>
      <c r="C194" s="23" t="s">
        <v>99</v>
      </c>
      <c r="D194" s="225"/>
    </row>
    <row r="195" spans="1:4" x14ac:dyDescent="0.35">
      <c r="A195" s="222"/>
      <c r="B195" s="23" t="s">
        <v>100</v>
      </c>
      <c r="C195" s="23" t="s">
        <v>101</v>
      </c>
      <c r="D195" s="225"/>
    </row>
    <row r="196" spans="1:4" x14ac:dyDescent="0.35">
      <c r="A196" s="223"/>
      <c r="B196" s="23" t="s">
        <v>102</v>
      </c>
      <c r="C196" s="23" t="s">
        <v>103</v>
      </c>
      <c r="D196" s="226"/>
    </row>
  </sheetData>
  <mergeCells count="78">
    <mergeCell ref="A121:D121"/>
    <mergeCell ref="B122:D122"/>
    <mergeCell ref="A125:A127"/>
    <mergeCell ref="D125:D134"/>
    <mergeCell ref="A128:A130"/>
    <mergeCell ref="A131:A134"/>
    <mergeCell ref="A106:D106"/>
    <mergeCell ref="B107:D107"/>
    <mergeCell ref="A110:A112"/>
    <mergeCell ref="D110:D119"/>
    <mergeCell ref="A113:A115"/>
    <mergeCell ref="A116:A119"/>
    <mergeCell ref="A91:D91"/>
    <mergeCell ref="B92:D92"/>
    <mergeCell ref="A95:A97"/>
    <mergeCell ref="D95:D104"/>
    <mergeCell ref="A98:A100"/>
    <mergeCell ref="A101:A104"/>
    <mergeCell ref="A76:D76"/>
    <mergeCell ref="B77:D77"/>
    <mergeCell ref="A80:A82"/>
    <mergeCell ref="D80:D89"/>
    <mergeCell ref="A83:A85"/>
    <mergeCell ref="A86:A89"/>
    <mergeCell ref="A61:D61"/>
    <mergeCell ref="B62:D62"/>
    <mergeCell ref="A65:A67"/>
    <mergeCell ref="D65:D74"/>
    <mergeCell ref="A68:A70"/>
    <mergeCell ref="A71:A74"/>
    <mergeCell ref="A46:D46"/>
    <mergeCell ref="B47:D47"/>
    <mergeCell ref="A50:A52"/>
    <mergeCell ref="D50:D59"/>
    <mergeCell ref="A53:A55"/>
    <mergeCell ref="A56:A59"/>
    <mergeCell ref="A31:D31"/>
    <mergeCell ref="B32:D32"/>
    <mergeCell ref="A35:A37"/>
    <mergeCell ref="D35:D44"/>
    <mergeCell ref="A38:A40"/>
    <mergeCell ref="A41:A44"/>
    <mergeCell ref="A16:D16"/>
    <mergeCell ref="B17:D17"/>
    <mergeCell ref="A20:A22"/>
    <mergeCell ref="D20:D29"/>
    <mergeCell ref="A23:A25"/>
    <mergeCell ref="A26:A29"/>
    <mergeCell ref="A1:D1"/>
    <mergeCell ref="B2:D2"/>
    <mergeCell ref="A5:A7"/>
    <mergeCell ref="D5:D14"/>
    <mergeCell ref="A8:A10"/>
    <mergeCell ref="A11:A14"/>
    <mergeCell ref="A136:D136"/>
    <mergeCell ref="B137:D137"/>
    <mergeCell ref="A140:A142"/>
    <mergeCell ref="D140:D149"/>
    <mergeCell ref="A143:A145"/>
    <mergeCell ref="A146:A149"/>
    <mergeCell ref="A151:D151"/>
    <mergeCell ref="B152:D152"/>
    <mergeCell ref="A155:A157"/>
    <mergeCell ref="D155:D164"/>
    <mergeCell ref="A158:A160"/>
    <mergeCell ref="A161:A164"/>
    <mergeCell ref="A167:D167"/>
    <mergeCell ref="B168:D168"/>
    <mergeCell ref="A171:A173"/>
    <mergeCell ref="D171:D180"/>
    <mergeCell ref="A174:A176"/>
    <mergeCell ref="A177:A180"/>
    <mergeCell ref="A183:D183"/>
    <mergeCell ref="B184:D184"/>
    <mergeCell ref="A187:A189"/>
    <mergeCell ref="D187:D196"/>
    <mergeCell ref="A190:A192"/>
    <mergeCell ref="A193:A196"/>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4DCA-5796-499E-9F2B-11FB76E3D892}">
  <sheetPr>
    <tabColor theme="1"/>
  </sheetPr>
  <dimension ref="A1:A7"/>
  <sheetViews>
    <sheetView showGridLines="0" workbookViewId="0">
      <selection activeCell="E18" sqref="E18"/>
    </sheetView>
  </sheetViews>
  <sheetFormatPr defaultColWidth="12.7109375" defaultRowHeight="15" x14ac:dyDescent="0.25"/>
  <cols>
    <col min="1" max="1" width="93.42578125" bestFit="1" customWidth="1"/>
  </cols>
  <sheetData>
    <row r="1" spans="1:1" ht="21" x14ac:dyDescent="0.35">
      <c r="A1" s="17" t="s">
        <v>68</v>
      </c>
    </row>
    <row r="2" spans="1:1" ht="21" x14ac:dyDescent="0.35">
      <c r="A2" s="16" t="s">
        <v>69</v>
      </c>
    </row>
    <row r="3" spans="1:1" ht="21" x14ac:dyDescent="0.35">
      <c r="A3" s="16" t="s">
        <v>70</v>
      </c>
    </row>
    <row r="4" spans="1:1" ht="21" x14ac:dyDescent="0.35">
      <c r="A4" s="16" t="s">
        <v>71</v>
      </c>
    </row>
    <row r="5" spans="1:1" ht="21" x14ac:dyDescent="0.35">
      <c r="A5" s="16" t="s">
        <v>72</v>
      </c>
    </row>
    <row r="6" spans="1:1" ht="21" x14ac:dyDescent="0.35">
      <c r="A6" s="16" t="s">
        <v>73</v>
      </c>
    </row>
    <row r="7" spans="1:1" ht="21" x14ac:dyDescent="0.35">
      <c r="A7" s="16" t="s">
        <v>74</v>
      </c>
    </row>
  </sheetData>
  <pageMargins left="0.511811024" right="0.511811024" top="0.78740157499999996" bottom="0.78740157499999996" header="0.31496062000000002" footer="0.31496062000000002"/>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96B65B-C70F-4016-A567-88EB13BA93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Dashboard</vt:lpstr>
      <vt:lpstr>Explicação</vt:lpstr>
      <vt:lpstr>Dados do Forms</vt:lpstr>
      <vt:lpstr>Escala</vt:lpstr>
      <vt:lpstr>Resumo por Tópico</vt:lpstr>
      <vt:lpstr>Análise e Avaliação</vt:lpstr>
      <vt:lpstr>Dados Gráficos</vt:lpstr>
      <vt:lpstr>Planilha5</vt:lpstr>
      <vt:lpstr>Planilha2</vt:lpstr>
      <vt:lpstr>Medidas de Controle </vt:lpstr>
      <vt:lpstr>Monitoramento do desempenho</vt:lpstr>
      <vt:lpstr>Critérios de Probabilidade </vt:lpstr>
      <vt:lpstr>Revisão e Melhoria Continua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Junior Santos</cp:lastModifiedBy>
  <cp:lastPrinted>2025-08-20T22:35:07Z</cp:lastPrinted>
  <dcterms:created xsi:type="dcterms:W3CDTF">2025-03-27T21:36:35Z</dcterms:created>
  <dcterms:modified xsi:type="dcterms:W3CDTF">2026-05-29T16:35:37Z</dcterms:modified>
</cp:coreProperties>
</file>